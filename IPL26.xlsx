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E:\Dhairya\Timepass projects\Cricket rating system\backend\data\"/>
    </mc:Choice>
  </mc:AlternateContent>
  <xr:revisionPtr revIDLastSave="0" documentId="13_ncr:1_{452B2FF9-94D6-4ACF-9108-4410C2DB684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Matches" sheetId="1" r:id="rId2"/>
  </sheets>
  <externalReferences>
    <externalReference r:id="rId3"/>
    <externalReference r:id="rId4"/>
    <externalReference r:id="rId5"/>
  </externalReferences>
  <calcPr calcId="181029"/>
  <pivotCaches>
    <pivotCache cacheId="0" r:id="rId6"/>
  </pivotCaches>
</workbook>
</file>

<file path=xl/calcChain.xml><?xml version="1.0" encoding="utf-8"?>
<calcChain xmlns="http://schemas.openxmlformats.org/spreadsheetml/2006/main">
  <c r="L70" i="1" l="1"/>
  <c r="L71" i="1"/>
  <c r="L72" i="1"/>
  <c r="L73" i="1"/>
  <c r="L74" i="1"/>
  <c r="Q70" i="1"/>
  <c r="Q71" i="1"/>
  <c r="Q72" i="1"/>
  <c r="Q73" i="1"/>
  <c r="Q74" i="1"/>
  <c r="K14" i="2"/>
  <c r="J14" i="2"/>
  <c r="I5" i="2"/>
  <c r="I6" i="2"/>
  <c r="I7" i="2"/>
  <c r="I8" i="2"/>
  <c r="I9" i="2"/>
  <c r="I10" i="2"/>
  <c r="I11" i="2"/>
  <c r="I12" i="2"/>
  <c r="I13" i="2"/>
  <c r="I15" i="2"/>
  <c r="I16" i="2"/>
  <c r="I17" i="2"/>
  <c r="I4" i="2"/>
  <c r="H4" i="2"/>
  <c r="H5" i="2"/>
  <c r="H6" i="2"/>
  <c r="H7" i="2"/>
  <c r="H8" i="2"/>
  <c r="H9" i="2"/>
  <c r="H10" i="2"/>
  <c r="H11" i="2"/>
  <c r="H12" i="2"/>
  <c r="H13" i="2"/>
  <c r="H15" i="2"/>
  <c r="H16" i="2"/>
  <c r="H17" i="2"/>
  <c r="G5" i="2"/>
  <c r="G6" i="2"/>
  <c r="G7" i="2"/>
  <c r="G8" i="2"/>
  <c r="G9" i="2"/>
  <c r="G10" i="2"/>
  <c r="G11" i="2"/>
  <c r="G12" i="2"/>
  <c r="G13" i="2"/>
  <c r="G15" i="2"/>
  <c r="G16" i="2"/>
  <c r="G17" i="2"/>
  <c r="G4" i="2"/>
  <c r="F5" i="2"/>
  <c r="F6" i="2"/>
  <c r="F7" i="2"/>
  <c r="F8" i="2"/>
  <c r="F9" i="2"/>
  <c r="F10" i="2"/>
  <c r="F11" i="2"/>
  <c r="F12" i="2"/>
  <c r="F13" i="2"/>
  <c r="F15" i="2"/>
  <c r="F16" i="2"/>
  <c r="F17" i="2"/>
  <c r="F4" i="2"/>
  <c r="E5" i="2"/>
  <c r="K5" i="2" s="1"/>
  <c r="E6" i="2"/>
  <c r="K6" i="2" s="1"/>
  <c r="E7" i="2"/>
  <c r="K7" i="2" s="1"/>
  <c r="E8" i="2"/>
  <c r="K8" i="2" s="1"/>
  <c r="E9" i="2"/>
  <c r="K9" i="2" s="1"/>
  <c r="E10" i="2"/>
  <c r="K10" i="2" s="1"/>
  <c r="E11" i="2"/>
  <c r="K11" i="2" s="1"/>
  <c r="E12" i="2"/>
  <c r="K12" i="2" s="1"/>
  <c r="E13" i="2"/>
  <c r="K13" i="2" s="1"/>
  <c r="E15" i="2"/>
  <c r="K15" i="2" s="1"/>
  <c r="E16" i="2"/>
  <c r="K16" i="2" s="1"/>
  <c r="E17" i="2"/>
  <c r="K17" i="2" s="1"/>
  <c r="E4" i="2"/>
  <c r="K4" i="2" s="1"/>
  <c r="D5" i="2"/>
  <c r="J5" i="2" s="1"/>
  <c r="D6" i="2"/>
  <c r="J6" i="2" s="1"/>
  <c r="D7" i="2"/>
  <c r="J7" i="2" s="1"/>
  <c r="D8" i="2"/>
  <c r="J8" i="2" s="1"/>
  <c r="D9" i="2"/>
  <c r="J9" i="2" s="1"/>
  <c r="D10" i="2"/>
  <c r="J10" i="2" s="1"/>
  <c r="D11" i="2"/>
  <c r="J11" i="2" s="1"/>
  <c r="D12" i="2"/>
  <c r="J12" i="2" s="1"/>
  <c r="D13" i="2"/>
  <c r="J13" i="2" s="1"/>
  <c r="D15" i="2"/>
  <c r="J15" i="2" s="1"/>
  <c r="D16" i="2"/>
  <c r="J16" i="2" s="1"/>
  <c r="D17" i="2"/>
  <c r="J17" i="2" s="1"/>
  <c r="D4" i="2"/>
  <c r="J4" i="2" s="1"/>
  <c r="Q6" i="1"/>
  <c r="Q10" i="1"/>
  <c r="Q14" i="1"/>
  <c r="Q18" i="1"/>
  <c r="Q22" i="1"/>
  <c r="Q26" i="1"/>
  <c r="Q30" i="1"/>
  <c r="Q34" i="1"/>
  <c r="Q38" i="1"/>
  <c r="Q42" i="1"/>
  <c r="Q46" i="1"/>
  <c r="Q50" i="1"/>
  <c r="Q54" i="1"/>
  <c r="Q58" i="1"/>
  <c r="Q62" i="1"/>
  <c r="L5" i="1"/>
  <c r="L9" i="1"/>
  <c r="L13" i="1"/>
  <c r="L17" i="1"/>
  <c r="L21" i="1"/>
  <c r="L25" i="1"/>
  <c r="L29" i="1"/>
  <c r="L33" i="1"/>
  <c r="L37" i="1"/>
  <c r="L41" i="1"/>
  <c r="L45" i="1"/>
  <c r="L49" i="1"/>
  <c r="L53" i="1"/>
  <c r="L57" i="1"/>
  <c r="L61" i="1"/>
  <c r="L65" i="1"/>
  <c r="P3" i="1"/>
  <c r="Q3" i="1" s="1"/>
  <c r="P4" i="1"/>
  <c r="Q4" i="1" s="1"/>
  <c r="P5" i="1"/>
  <c r="Q5" i="1" s="1"/>
  <c r="P6" i="1"/>
  <c r="P7" i="1"/>
  <c r="Q7" i="1" s="1"/>
  <c r="P8" i="1"/>
  <c r="Q8" i="1" s="1"/>
  <c r="P9" i="1"/>
  <c r="Q9" i="1" s="1"/>
  <c r="P10" i="1"/>
  <c r="P11" i="1"/>
  <c r="Q11" i="1" s="1"/>
  <c r="P12" i="1"/>
  <c r="Q12" i="1" s="1"/>
  <c r="P13" i="1"/>
  <c r="Q13" i="1" s="1"/>
  <c r="P14" i="1"/>
  <c r="P15" i="1"/>
  <c r="Q15" i="1" s="1"/>
  <c r="P16" i="1"/>
  <c r="Q16" i="1" s="1"/>
  <c r="P17" i="1"/>
  <c r="Q17" i="1" s="1"/>
  <c r="P18" i="1"/>
  <c r="P19" i="1"/>
  <c r="Q19" i="1" s="1"/>
  <c r="P20" i="1"/>
  <c r="Q20" i="1" s="1"/>
  <c r="P21" i="1"/>
  <c r="Q21" i="1" s="1"/>
  <c r="P22" i="1"/>
  <c r="P23" i="1"/>
  <c r="Q23" i="1" s="1"/>
  <c r="P24" i="1"/>
  <c r="Q24" i="1" s="1"/>
  <c r="P25" i="1"/>
  <c r="Q25" i="1" s="1"/>
  <c r="P26" i="1"/>
  <c r="P27" i="1"/>
  <c r="Q27" i="1" s="1"/>
  <c r="P28" i="1"/>
  <c r="Q28" i="1" s="1"/>
  <c r="P29" i="1"/>
  <c r="Q29" i="1" s="1"/>
  <c r="P30" i="1"/>
  <c r="P31" i="1"/>
  <c r="Q31" i="1" s="1"/>
  <c r="P32" i="1"/>
  <c r="Q32" i="1" s="1"/>
  <c r="P33" i="1"/>
  <c r="Q33" i="1" s="1"/>
  <c r="P34" i="1"/>
  <c r="P35" i="1"/>
  <c r="Q35" i="1" s="1"/>
  <c r="P36" i="1"/>
  <c r="Q36" i="1" s="1"/>
  <c r="P37" i="1"/>
  <c r="Q37" i="1" s="1"/>
  <c r="P38" i="1"/>
  <c r="P39" i="1"/>
  <c r="Q39" i="1" s="1"/>
  <c r="P40" i="1"/>
  <c r="Q40" i="1" s="1"/>
  <c r="P41" i="1"/>
  <c r="Q41" i="1" s="1"/>
  <c r="P42" i="1"/>
  <c r="P43" i="1"/>
  <c r="Q43" i="1" s="1"/>
  <c r="P44" i="1"/>
  <c r="Q44" i="1" s="1"/>
  <c r="P45" i="1"/>
  <c r="Q45" i="1" s="1"/>
  <c r="P46" i="1"/>
  <c r="P47" i="1"/>
  <c r="Q47" i="1" s="1"/>
  <c r="P48" i="1"/>
  <c r="Q48" i="1" s="1"/>
  <c r="P49" i="1"/>
  <c r="Q49" i="1" s="1"/>
  <c r="P50" i="1"/>
  <c r="P51" i="1"/>
  <c r="Q51" i="1" s="1"/>
  <c r="P52" i="1"/>
  <c r="Q52" i="1" s="1"/>
  <c r="P53" i="1"/>
  <c r="Q53" i="1" s="1"/>
  <c r="P54" i="1"/>
  <c r="P55" i="1"/>
  <c r="Q55" i="1" s="1"/>
  <c r="P56" i="1"/>
  <c r="Q56" i="1" s="1"/>
  <c r="P57" i="1"/>
  <c r="Q57" i="1" s="1"/>
  <c r="P58" i="1"/>
  <c r="P59" i="1"/>
  <c r="Q59" i="1" s="1"/>
  <c r="P60" i="1"/>
  <c r="Q60" i="1" s="1"/>
  <c r="P61" i="1"/>
  <c r="Q61" i="1" s="1"/>
  <c r="P62" i="1"/>
  <c r="P63" i="1"/>
  <c r="Q63" i="1" s="1"/>
  <c r="P64" i="1"/>
  <c r="Q64" i="1" s="1"/>
  <c r="P65" i="1"/>
  <c r="Q65" i="1" s="1"/>
  <c r="P66" i="1"/>
  <c r="Q66" i="1" s="1"/>
  <c r="P67" i="1"/>
  <c r="Q67" i="1" s="1"/>
  <c r="P68" i="1"/>
  <c r="Q68" i="1" s="1"/>
  <c r="P69" i="1"/>
  <c r="Q69" i="1" s="1"/>
  <c r="K70" i="1"/>
  <c r="P71" i="1"/>
  <c r="P72" i="1"/>
  <c r="P73" i="1"/>
  <c r="P74" i="1"/>
  <c r="P2" i="1"/>
  <c r="Q2" i="1" s="1"/>
  <c r="K3" i="1"/>
  <c r="L3" i="1" s="1"/>
  <c r="K4" i="1"/>
  <c r="L4" i="1" s="1"/>
  <c r="K5" i="1"/>
  <c r="K6" i="1"/>
  <c r="L6" i="1" s="1"/>
  <c r="K7" i="1"/>
  <c r="L7" i="1" s="1"/>
  <c r="K8" i="1"/>
  <c r="L8" i="1" s="1"/>
  <c r="K9" i="1"/>
  <c r="K10" i="1"/>
  <c r="L10" i="1" s="1"/>
  <c r="K11" i="1"/>
  <c r="L11" i="1" s="1"/>
  <c r="K12" i="1"/>
  <c r="L12" i="1" s="1"/>
  <c r="K13" i="1"/>
  <c r="K14" i="1"/>
  <c r="L14" i="1" s="1"/>
  <c r="K15" i="1"/>
  <c r="L15" i="1" s="1"/>
  <c r="K16" i="1"/>
  <c r="L16" i="1" s="1"/>
  <c r="K17" i="1"/>
  <c r="K18" i="1"/>
  <c r="L18" i="1" s="1"/>
  <c r="K19" i="1"/>
  <c r="L19" i="1" s="1"/>
  <c r="K20" i="1"/>
  <c r="L20" i="1" s="1"/>
  <c r="K21" i="1"/>
  <c r="K22" i="1"/>
  <c r="L22" i="1" s="1"/>
  <c r="K23" i="1"/>
  <c r="L23" i="1" s="1"/>
  <c r="K24" i="1"/>
  <c r="L24" i="1" s="1"/>
  <c r="K25" i="1"/>
  <c r="K26" i="1"/>
  <c r="L26" i="1" s="1"/>
  <c r="K27" i="1"/>
  <c r="L27" i="1" s="1"/>
  <c r="K28" i="1"/>
  <c r="L28" i="1" s="1"/>
  <c r="K29" i="1"/>
  <c r="K30" i="1"/>
  <c r="L30" i="1" s="1"/>
  <c r="K31" i="1"/>
  <c r="L31" i="1" s="1"/>
  <c r="K32" i="1"/>
  <c r="L32" i="1" s="1"/>
  <c r="K33" i="1"/>
  <c r="K34" i="1"/>
  <c r="L34" i="1" s="1"/>
  <c r="K35" i="1"/>
  <c r="L35" i="1" s="1"/>
  <c r="K36" i="1"/>
  <c r="L36" i="1" s="1"/>
  <c r="K37" i="1"/>
  <c r="K38" i="1"/>
  <c r="L38" i="1" s="1"/>
  <c r="K39" i="1"/>
  <c r="L39" i="1" s="1"/>
  <c r="K40" i="1"/>
  <c r="L40" i="1" s="1"/>
  <c r="K41" i="1"/>
  <c r="K42" i="1"/>
  <c r="L42" i="1" s="1"/>
  <c r="K43" i="1"/>
  <c r="L43" i="1" s="1"/>
  <c r="K44" i="1"/>
  <c r="L44" i="1" s="1"/>
  <c r="K45" i="1"/>
  <c r="K46" i="1"/>
  <c r="L46" i="1" s="1"/>
  <c r="K47" i="1"/>
  <c r="L47" i="1" s="1"/>
  <c r="K48" i="1"/>
  <c r="L48" i="1" s="1"/>
  <c r="K49" i="1"/>
  <c r="K50" i="1"/>
  <c r="L50" i="1" s="1"/>
  <c r="K51" i="1"/>
  <c r="L51" i="1" s="1"/>
  <c r="K52" i="1"/>
  <c r="L52" i="1" s="1"/>
  <c r="K53" i="1"/>
  <c r="K54" i="1"/>
  <c r="L54" i="1" s="1"/>
  <c r="K55" i="1"/>
  <c r="L55" i="1" s="1"/>
  <c r="K56" i="1"/>
  <c r="L56" i="1" s="1"/>
  <c r="K57" i="1"/>
  <c r="K58" i="1"/>
  <c r="L58" i="1" s="1"/>
  <c r="K59" i="1"/>
  <c r="L59" i="1" s="1"/>
  <c r="K60" i="1"/>
  <c r="L60" i="1" s="1"/>
  <c r="K61" i="1"/>
  <c r="K62" i="1"/>
  <c r="L62" i="1" s="1"/>
  <c r="K63" i="1"/>
  <c r="L63" i="1" s="1"/>
  <c r="K64" i="1"/>
  <c r="L64" i="1" s="1"/>
  <c r="K65" i="1"/>
  <c r="K66" i="1"/>
  <c r="L66" i="1" s="1"/>
  <c r="K67" i="1"/>
  <c r="L67" i="1" s="1"/>
  <c r="K68" i="1"/>
  <c r="L68" i="1" s="1"/>
  <c r="K69" i="1"/>
  <c r="L69" i="1" s="1"/>
  <c r="P70" i="1"/>
  <c r="K71" i="1"/>
  <c r="K72" i="1"/>
  <c r="K73" i="1"/>
  <c r="K74" i="1"/>
  <c r="K2" i="1"/>
  <c r="L2" i="1" s="1"/>
</calcChain>
</file>

<file path=xl/sharedStrings.xml><?xml version="1.0" encoding="utf-8"?>
<sst xmlns="http://schemas.openxmlformats.org/spreadsheetml/2006/main" count="562" uniqueCount="57">
  <si>
    <t>Match No</t>
  </si>
  <si>
    <t>Date</t>
  </si>
  <si>
    <t>Venue</t>
  </si>
  <si>
    <t>Team 1</t>
  </si>
  <si>
    <t>Team 2</t>
  </si>
  <si>
    <t>Batting 1st</t>
  </si>
  <si>
    <t>Batting 2nd</t>
  </si>
  <si>
    <t>1st Inn Score</t>
  </si>
  <si>
    <t>1st Inn Wkts</t>
  </si>
  <si>
    <t>1st Inn Overs</t>
  </si>
  <si>
    <t>2nd Inn Score</t>
  </si>
  <si>
    <t>2nd Inn Wkts</t>
  </si>
  <si>
    <t>2nd Inn Overs</t>
  </si>
  <si>
    <t>Match Result</t>
  </si>
  <si>
    <t>Winning Team</t>
  </si>
  <si>
    <t>Final</t>
  </si>
  <si>
    <t>GT</t>
  </si>
  <si>
    <t>RCB</t>
  </si>
  <si>
    <t>Completed</t>
  </si>
  <si>
    <t>Qual 2</t>
  </si>
  <si>
    <t>RR</t>
  </si>
  <si>
    <t>Elim</t>
  </si>
  <si>
    <t>SRH</t>
  </si>
  <si>
    <t>Qual 1</t>
  </si>
  <si>
    <t>DC</t>
  </si>
  <si>
    <t>KKR</t>
  </si>
  <si>
    <t>MI</t>
  </si>
  <si>
    <t>LSG</t>
  </si>
  <si>
    <t>PBKS</t>
  </si>
  <si>
    <t>CSK</t>
  </si>
  <si>
    <t>Completed (SO)</t>
  </si>
  <si>
    <t>1st Inn Balls</t>
  </si>
  <si>
    <t>2nd Inn Balls</t>
  </si>
  <si>
    <t>1st Inn RR</t>
  </si>
  <si>
    <t>2nd Inn RR</t>
  </si>
  <si>
    <t>Row Labels</t>
  </si>
  <si>
    <t>Grand Total</t>
  </si>
  <si>
    <t>Average of 1st Inn RR</t>
  </si>
  <si>
    <t>Average of 2nd Inn RR</t>
  </si>
  <si>
    <t>Wankhede Stadium, Mumbai</t>
  </si>
  <si>
    <t>ACA Stadium, Guwahati</t>
  </si>
  <si>
    <t>New International Cricket Stadium, New Chandigarh</t>
  </si>
  <si>
    <t>Bharat Ratna Shri Atal Bihari Vajpayee Ekana Cricket Stadium, Lucknow</t>
  </si>
  <si>
    <t>Eden Gardens, Kolkata</t>
  </si>
  <si>
    <t>MA Chidambaram Stadium, Chennai</t>
  </si>
  <si>
    <t>Arun Jaitley Stadium, Delhi</t>
  </si>
  <si>
    <t>Narendra Modi Stadium, Ahmedabad</t>
  </si>
  <si>
    <t>Rajiv Gandhi International Stadium, Hyderabad</t>
  </si>
  <si>
    <t>Sawai Mansingh Stadium, Jaipur</t>
  </si>
  <si>
    <t>Shaheed Veer Narayan Singh International Cricket Stadium, Raipur</t>
  </si>
  <si>
    <t>Himachal Pradesh Cricket Association Stadium, Dharamshala</t>
  </si>
  <si>
    <t>IPL 2023</t>
  </si>
  <si>
    <t>IPL 2024</t>
  </si>
  <si>
    <t>IPL 2025</t>
  </si>
  <si>
    <t>M Chinnaswamy Stadium, Bengaluru</t>
  </si>
  <si>
    <t>Avg 1st RR</t>
  </si>
  <si>
    <t>Avg 2nd 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</si>
</sst>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 d"/>
    <numFmt numFmtId="165" formatCode="mmm\ d"/>
    <numFmt numFmtId="166" formatCode="0.000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Dhairya\IPL%20Team%20Ratings\Data\IPL23\IPL23.xlsx" TargetMode="External"/><Relationship Id="rId1" Type="http://schemas.openxmlformats.org/officeDocument/2006/relationships/externalLinkPath" Target="/Dhairya/IPL%20Team%20Ratings/Data/IPL23/IPL2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Dhairya\IPL%20Team%20Ratings\Data\IPL24\IPL24.xlsx" TargetMode="External"/><Relationship Id="rId1" Type="http://schemas.openxmlformats.org/officeDocument/2006/relationships/externalLinkPath" Target="/Dhairya/IPL%20Team%20Ratings/Data/IPL24/IPL2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Dhairya\IPL%20Team%20Ratings\Data\IPL25\IPL25.xlsx" TargetMode="External"/><Relationship Id="rId1" Type="http://schemas.openxmlformats.org/officeDocument/2006/relationships/externalLinkPath" Target="/Dhairya/IPL%20Team%20Ratings/Data/IPL25/IPL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ame for this tab too. Extract "/>
    </sheetNames>
    <sheetDataSet>
      <sheetData sheetId="0">
        <row r="3">
          <cell r="A3" t="str">
            <v>Row Labels</v>
          </cell>
          <cell r="B3" t="str">
            <v>Average of 1st Inn RR</v>
          </cell>
          <cell r="C3" t="str">
            <v>Average of 2nd Inn RR</v>
          </cell>
        </row>
        <row r="4">
          <cell r="A4" t="str">
            <v>ACA Stadium, Guwahati</v>
          </cell>
          <cell r="B4">
            <v>9.8999999999999986</v>
          </cell>
          <cell r="C4">
            <v>8.35</v>
          </cell>
        </row>
        <row r="5">
          <cell r="A5" t="str">
            <v>Arun Jaitley Stadium, Delhi</v>
          </cell>
          <cell r="B5">
            <v>8.7993946731234871</v>
          </cell>
          <cell r="C5">
            <v>8.4233095313417987</v>
          </cell>
        </row>
        <row r="6">
          <cell r="A6" t="str">
            <v>Bharat Ratna Shri Atal Bihari Vajpayee Ekana Cricket Stadium, Lucknow</v>
          </cell>
          <cell r="B6">
            <v>7.4307881773399007</v>
          </cell>
          <cell r="C6">
            <v>7.2982147346117934</v>
          </cell>
        </row>
        <row r="7">
          <cell r="A7" t="str">
            <v>Eden Gardens, Kolkata</v>
          </cell>
          <cell r="B7">
            <v>9.6428571428571423</v>
          </cell>
          <cell r="C7">
            <v>9.4177252178926256</v>
          </cell>
        </row>
        <row r="8">
          <cell r="A8" t="str">
            <v>M Chinnaswamy Stadium, Bengaluru</v>
          </cell>
          <cell r="B8">
            <v>9.7785714285714285</v>
          </cell>
          <cell r="C8">
            <v>9.7158638610723784</v>
          </cell>
        </row>
        <row r="9">
          <cell r="A9" t="str">
            <v>Narendra Modi Stadium, Ahmedabad</v>
          </cell>
          <cell r="B9">
            <v>9.7666666666666675</v>
          </cell>
          <cell r="C9">
            <v>8.8721873911529077</v>
          </cell>
        </row>
        <row r="10">
          <cell r="A10" t="str">
            <v>Punjab Cricket Association IS Bindra Stadium, Mohali</v>
          </cell>
          <cell r="B10">
            <v>9.89</v>
          </cell>
          <cell r="C10">
            <v>9.3350008788712593</v>
          </cell>
        </row>
        <row r="11">
          <cell r="A11" t="str">
            <v>Rajiv Gandhi International Stadium, Hyderabad</v>
          </cell>
          <cell r="B11">
            <v>8.7214285714285715</v>
          </cell>
          <cell r="C11">
            <v>8.3375387382941124</v>
          </cell>
        </row>
        <row r="12">
          <cell r="A12" t="str">
            <v>Sawai Mansingh Stadium, Jaipur</v>
          </cell>
          <cell r="B12">
            <v>8.7333644859813084</v>
          </cell>
          <cell r="C12">
            <v>8.1542914515203684</v>
          </cell>
        </row>
        <row r="13">
          <cell r="A13" t="str">
            <v>Himachal Pradesh Cricket Association Stadium, Dharamshala</v>
          </cell>
          <cell r="B13">
            <v>10</v>
          </cell>
          <cell r="C13">
            <v>9.7550847457627121</v>
          </cell>
        </row>
        <row r="14">
          <cell r="A14" t="str">
            <v>Wankhede Stadium, Mumbai</v>
          </cell>
          <cell r="B14">
            <v>9.8928571428571406</v>
          </cell>
          <cell r="C14">
            <v>10.44897617528741</v>
          </cell>
        </row>
        <row r="15">
          <cell r="A15" t="str">
            <v>MA Chidambaram Stadium, Chennai</v>
          </cell>
          <cell r="B15">
            <v>8.5</v>
          </cell>
          <cell r="C15">
            <v>8.1260603902113342</v>
          </cell>
        </row>
        <row r="16">
          <cell r="A16" t="str">
            <v>Grand Total</v>
          </cell>
          <cell r="B16">
            <v>9.1510554376101432</v>
          </cell>
          <cell r="C16">
            <v>8.8333430719267216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Yes, I want data for all 74 mat"/>
    </sheetNames>
    <sheetDataSet>
      <sheetData sheetId="0">
        <row r="3">
          <cell r="A3" t="str">
            <v>Row Labels</v>
          </cell>
          <cell r="B3" t="str">
            <v>Average of 1st Inn RR</v>
          </cell>
          <cell r="C3" t="str">
            <v>Average of 2nd Inn RR</v>
          </cell>
        </row>
        <row r="4">
          <cell r="A4" t="str">
            <v>ACA Stadium, Guwahati</v>
          </cell>
          <cell r="B4">
            <v>7.2</v>
          </cell>
          <cell r="C4">
            <v>7.6991150442477876</v>
          </cell>
        </row>
        <row r="5">
          <cell r="A5" t="str">
            <v>Arun Jaitley Stadium, Delhi</v>
          </cell>
          <cell r="B5">
            <v>11.76</v>
          </cell>
          <cell r="C5">
            <v>10.646521739130435</v>
          </cell>
        </row>
        <row r="6">
          <cell r="A6" t="str">
            <v>Bharat Ratna Shri Atal Bihari Vajpayee Ekana Cricket Stadium, Lucknow</v>
          </cell>
          <cell r="B6">
            <v>9.1428571428571423</v>
          </cell>
          <cell r="C6">
            <v>8.7260068939386564</v>
          </cell>
        </row>
        <row r="7">
          <cell r="A7" t="str">
            <v>Eden Gardens, Kolkata</v>
          </cell>
          <cell r="B7">
            <v>10.173214285714286</v>
          </cell>
          <cell r="C7">
            <v>10.718398761825814</v>
          </cell>
        </row>
        <row r="8">
          <cell r="A8" t="str">
            <v>M Chinnaswamy Stadium, Bengaluru</v>
          </cell>
          <cell r="B8">
            <v>9.8697802197802211</v>
          </cell>
          <cell r="C8">
            <v>9.8731945092524995</v>
          </cell>
        </row>
        <row r="9">
          <cell r="A9" t="str">
            <v>Narendra Modi Stadium, Ahmedabad</v>
          </cell>
          <cell r="B9">
            <v>8.7299450549450555</v>
          </cell>
          <cell r="C9">
            <v>10.149655010151809</v>
          </cell>
        </row>
        <row r="10">
          <cell r="A10" t="str">
            <v>New International Cricket Stadium, New Chandigarh</v>
          </cell>
          <cell r="B10">
            <v>8.3699999999999992</v>
          </cell>
          <cell r="C10">
            <v>8.5968510702631882</v>
          </cell>
        </row>
        <row r="11">
          <cell r="A11" t="str">
            <v>Rajiv Gandhi International Stadium, Hyderabad</v>
          </cell>
          <cell r="B11">
            <v>10.233333333333333</v>
          </cell>
          <cell r="C11">
            <v>11.413478008702072</v>
          </cell>
        </row>
        <row r="12">
          <cell r="A12" t="str">
            <v>Sawai Mansingh Stadium, Jaipur</v>
          </cell>
          <cell r="B12">
            <v>9.36</v>
          </cell>
          <cell r="C12">
            <v>9.3828881987577635</v>
          </cell>
        </row>
        <row r="13">
          <cell r="A13" t="str">
            <v>Dr YS Rajasekhara Reddy ACA-VDCA Cricket Stadium, Visakhapatnam</v>
          </cell>
          <cell r="B13">
            <v>11.574999999999999</v>
          </cell>
          <cell r="C13">
            <v>9.0634615384615387</v>
          </cell>
        </row>
        <row r="14">
          <cell r="A14" t="str">
            <v>Himachal Pradesh Cricket Association Stadium, Dharamshala</v>
          </cell>
          <cell r="B14">
            <v>10.199999999999999</v>
          </cell>
          <cell r="C14">
            <v>8.7985294117647062</v>
          </cell>
        </row>
        <row r="15">
          <cell r="A15" t="str">
            <v>Wankhede Stadium, Mumbai</v>
          </cell>
          <cell r="B15">
            <v>9.4172869147659064</v>
          </cell>
          <cell r="C15">
            <v>9.7314049496036343</v>
          </cell>
        </row>
        <row r="16">
          <cell r="A16" t="str">
            <v>MA Chidambaram Stadium, Chennai</v>
          </cell>
          <cell r="B16">
            <v>8.5453453453453463</v>
          </cell>
          <cell r="C16">
            <v>8.6060272618921427</v>
          </cell>
        </row>
        <row r="17">
          <cell r="A17" t="str">
            <v>Grand Total</v>
          </cell>
          <cell r="B17">
            <v>9.529149837880162</v>
          </cell>
          <cell r="C17">
            <v>9.6764759334965866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an you do the same again for a"/>
    </sheetNames>
    <sheetDataSet>
      <sheetData sheetId="0">
        <row r="3">
          <cell r="A3" t="str">
            <v>Row Labels</v>
          </cell>
          <cell r="B3" t="str">
            <v>Average of 1st Inn RR</v>
          </cell>
          <cell r="C3" t="str">
            <v>Average of 2nd Inn RR</v>
          </cell>
        </row>
        <row r="4">
          <cell r="A4" t="str">
            <v>ACA Stadium, Guwahati</v>
          </cell>
          <cell r="B4">
            <v>8.3249999999999993</v>
          </cell>
          <cell r="C4">
            <v>8.7714285714285722</v>
          </cell>
        </row>
        <row r="5">
          <cell r="A5" t="str">
            <v>Arun Jaitley Stadium, Delhi</v>
          </cell>
          <cell r="B5">
            <v>10.164285714285715</v>
          </cell>
          <cell r="C5">
            <v>10.33110623580731</v>
          </cell>
        </row>
        <row r="6">
          <cell r="A6" t="str">
            <v>Bharat Ratna Shri Atal Bihari Vajpayee Ekana Cricket Stadium, Lucknow</v>
          </cell>
          <cell r="B6">
            <v>9.6375000000000011</v>
          </cell>
          <cell r="C6">
            <v>10.081977775424919</v>
          </cell>
        </row>
        <row r="7">
          <cell r="A7" t="str">
            <v>Eden Gardens, Kolkata</v>
          </cell>
          <cell r="B7">
            <v>9.9714285714285715</v>
          </cell>
          <cell r="C7">
            <v>9.1774027770914675</v>
          </cell>
        </row>
        <row r="8">
          <cell r="A8" t="str">
            <v>Himachal Pradesh Cricket Association Stadium, Dharamshala</v>
          </cell>
          <cell r="B8">
            <v>11.8</v>
          </cell>
          <cell r="C8">
            <v>9.9499999999999993</v>
          </cell>
        </row>
        <row r="9">
          <cell r="A9" t="str">
            <v>M Chinnaswamy Stadium, Bengaluru</v>
          </cell>
          <cell r="B9">
            <v>8.8571428571428559</v>
          </cell>
          <cell r="C9">
            <v>9.4628280629880948</v>
          </cell>
        </row>
        <row r="10">
          <cell r="A10" t="str">
            <v>MA Chidambaram Stadium, Chennai</v>
          </cell>
          <cell r="B10">
            <v>8.3226283916865089</v>
          </cell>
          <cell r="C10">
            <v>8.607094728694479</v>
          </cell>
        </row>
        <row r="11">
          <cell r="A11" t="str">
            <v>Narendra Modi Stadium, Ahmedabad</v>
          </cell>
          <cell r="B11">
            <v>10.783333333333333</v>
          </cell>
          <cell r="C11">
            <v>9.5351716507796347</v>
          </cell>
        </row>
        <row r="12">
          <cell r="A12" t="str">
            <v>Rajiv Gandhi International Stadium, Hyderabad</v>
          </cell>
          <cell r="B12">
            <v>9.5750000000000011</v>
          </cell>
          <cell r="C12">
            <v>11.177728923483695</v>
          </cell>
        </row>
        <row r="13">
          <cell r="A13" t="str">
            <v>Sawai Mansingh Stadium, Jaipur</v>
          </cell>
          <cell r="B13">
            <v>9.9142857142857146</v>
          </cell>
          <cell r="C13">
            <v>10.107337408721023</v>
          </cell>
        </row>
        <row r="14">
          <cell r="A14" t="str">
            <v>Visakhapatnam</v>
          </cell>
          <cell r="B14">
            <v>9.5910714285714285</v>
          </cell>
          <cell r="C14">
            <v>10.597756410256411</v>
          </cell>
        </row>
        <row r="15">
          <cell r="A15" t="str">
            <v>Wankhede Stadium, Mumbai</v>
          </cell>
          <cell r="B15">
            <v>8.93600583090379</v>
          </cell>
          <cell r="C15">
            <v>8.9572715075941716</v>
          </cell>
        </row>
        <row r="16">
          <cell r="A16" t="str">
            <v>New International Cricket Stadium, New Chandigarh</v>
          </cell>
          <cell r="B16">
            <v>9.1234503478810893</v>
          </cell>
          <cell r="C16">
            <v>8.9177023566404099</v>
          </cell>
        </row>
        <row r="17">
          <cell r="A17" t="str">
            <v>Grand Total</v>
          </cell>
          <cell r="B17">
            <v>9.6040598684464271</v>
          </cell>
          <cell r="C17">
            <v>9.6322795829535028</v>
          </cell>
        </row>
      </sheetData>
      <sheetData sheetId="1"/>
    </sheetDataSet>
  </externalBook>
</externalLink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GRUTI" refreshedDate="46180.851113773148" createdVersion="8" refreshedVersion="8" minRefreshableVersion="3" recordCount="74" xr:uid="{107DECED-C6EF-4F9C-B14B-12C2C1AFFBB8}">
  <cacheSource type="worksheet">
    <worksheetSource ref="A1:S74" sheet="Matches"/>
  </cacheSource>
  <cacheFields count="19">
    <cacheField name="Match No" numFmtId="0">
      <sharedItems containsMixedTypes="1" containsNumber="1" containsInteger="1" minValue="1" maxValue="70"/>
    </cacheField>
    <cacheField name="Date" numFmtId="0">
      <sharedItems containsSemiMixedTypes="0" containsNonDate="0" containsDate="1" containsString="0" minDate="2026-03-28T00:00:00" maxDate="2026-06-01T00:00:00"/>
    </cacheField>
    <cacheField name="Venue" numFmtId="0">
      <sharedItems count="27">
        <s v="Narendra Modi Stadium, Ahmedabad"/>
        <s v="New International Cricket Stadium, New Chandigarh"/>
        <s v="Himachal Pradesh Cricket Association Stadium, Dharamshala"/>
        <s v="Eden Gardens, Kolkata"/>
        <s v="Wankhede Stadium, Mumbai"/>
        <s v="Bharat Ratna Shri Atal Bihari Vajpayee Ekana Cricket Stadium, Lucknow"/>
        <s v="Rajiv Gandhi International Stadium, Hyderabad"/>
        <s v="Sawai Mansingh Stadium, Jaipur"/>
        <s v="MA Chidambaram Stadium, Chennai"/>
        <s v="Arun Jaitley Stadium, Delhi"/>
        <s v="Shaheed Veer Narayan Singh International Cricket Stadium, Raipur"/>
        <s v="M Chinnaswamy Stadium, Bengaluru"/>
        <s v="ACA Stadium, Guwahati"/>
        <s v="M Chinnawamy Stadium, Bengaluru" u="1"/>
        <s v="Ahmedabad" u="1"/>
        <s v="New Chandigarh" u="1"/>
        <s v="Dharamshala" u="1"/>
        <s v="Kolkata" u="1"/>
        <s v="Mumbai" u="1"/>
        <s v="Lucknow" u="1"/>
        <s v="Hyderabad" u="1"/>
        <s v="Jaipur" u="1"/>
        <s v="Chennai" u="1"/>
        <s v="Delhi" u="1"/>
        <s v="Raipur" u="1"/>
        <s v="Bengaluru" u="1"/>
        <s v="Guwahati" u="1"/>
      </sharedItems>
    </cacheField>
    <cacheField name="Team 1" numFmtId="0">
      <sharedItems/>
    </cacheField>
    <cacheField name="Team 2" numFmtId="0">
      <sharedItems/>
    </cacheField>
    <cacheField name="Batting 1st" numFmtId="0">
      <sharedItems/>
    </cacheField>
    <cacheField name="Batting 2nd" numFmtId="0">
      <sharedItems/>
    </cacheField>
    <cacheField name="1st Inn Score" numFmtId="0">
      <sharedItems containsSemiMixedTypes="0" containsString="0" containsNumber="1" containsInteger="1" minValue="25" maxValue="264"/>
    </cacheField>
    <cacheField name="1st Inn Wkts" numFmtId="0">
      <sharedItems containsSemiMixedTypes="0" containsString="0" containsNumber="1" containsInteger="1" minValue="2" maxValue="10"/>
    </cacheField>
    <cacheField name="1st Inn Overs" numFmtId="0">
      <sharedItems containsSemiMixedTypes="0" containsString="0" containsNumber="1" minValue="3.4" maxValue="20"/>
    </cacheField>
    <cacheField name="1st Inn Balls" numFmtId="0">
      <sharedItems containsSemiMixedTypes="0" containsString="0" containsNumber="1" containsInteger="1" minValue="22" maxValue="120"/>
    </cacheField>
    <cacheField name="1st Inn RR" numFmtId="0">
      <sharedItems containsSemiMixedTypes="0" containsString="0" containsNumber="1" minValue="4.5454545454545459" maxValue="13.636363636363637"/>
    </cacheField>
    <cacheField name="2nd Inn Score" numFmtId="0">
      <sharedItems containsMixedTypes="1" containsNumber="1" containsInteger="1" minValue="77" maxValue="265"/>
    </cacheField>
    <cacheField name="2nd Inn Wkts" numFmtId="0">
      <sharedItems containsMixedTypes="1" containsNumber="1" containsInteger="1" minValue="1" maxValue="10"/>
    </cacheField>
    <cacheField name="2nd Inn Overs" numFmtId="0">
      <sharedItems containsMixedTypes="1" containsNumber="1" minValue="6.3" maxValue="20"/>
    </cacheField>
    <cacheField name="2nd Inn Balls" numFmtId="0">
      <sharedItems containsMixedTypes="1" containsNumber="1" containsInteger="1" minValue="39" maxValue="120"/>
    </cacheField>
    <cacheField name="2nd Inn RR" numFmtId="0">
      <sharedItems containsMixedTypes="1" containsNumber="1" minValue="5.4736842105263159" maxValue="14.070796460176991"/>
    </cacheField>
    <cacheField name="Match Result" numFmtId="0">
      <sharedItems/>
    </cacheField>
    <cacheField name="Winning Tea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s v="Final"/>
    <d v="2026-05-31T00:00:00"/>
    <x v="0"/>
    <s v="GT"/>
    <s v="RCB"/>
    <s v="GT"/>
    <s v="RCB"/>
    <n v="155"/>
    <n v="8"/>
    <n v="20"/>
    <n v="120"/>
    <n v="7.75"/>
    <n v="161"/>
    <n v="5"/>
    <n v="18"/>
    <n v="108"/>
    <n v="8.9444444444444446"/>
    <s v="Completed"/>
    <s v="RCB"/>
  </r>
  <r>
    <s v="Qual 2"/>
    <d v="2026-05-29T00:00:00"/>
    <x v="1"/>
    <s v="RR"/>
    <s v="GT"/>
    <s v="RR"/>
    <s v="GT"/>
    <n v="214"/>
    <n v="6"/>
    <n v="20"/>
    <n v="120"/>
    <n v="10.7"/>
    <n v="219"/>
    <n v="3"/>
    <n v="18.399999999999999"/>
    <n v="112"/>
    <n v="11.732142857142858"/>
    <s v="Completed"/>
    <s v="GT"/>
  </r>
  <r>
    <s v="Elim"/>
    <d v="2026-05-27T00:00:00"/>
    <x v="1"/>
    <s v="RR"/>
    <s v="SRH"/>
    <s v="RR"/>
    <s v="SRH"/>
    <n v="243"/>
    <n v="8"/>
    <n v="20"/>
    <n v="120"/>
    <n v="12.15"/>
    <n v="196"/>
    <n v="10"/>
    <n v="19.2"/>
    <n v="116"/>
    <n v="10.137931034482758"/>
    <s v="Completed"/>
    <s v="RR"/>
  </r>
  <r>
    <s v="Qual 1"/>
    <d v="2026-05-26T00:00:00"/>
    <x v="2"/>
    <s v="RCB"/>
    <s v="GT"/>
    <s v="RCB"/>
    <s v="GT"/>
    <n v="254"/>
    <n v="5"/>
    <n v="20"/>
    <n v="120"/>
    <n v="12.7"/>
    <n v="162"/>
    <n v="10"/>
    <n v="19.3"/>
    <n v="117"/>
    <n v="8.3076923076923084"/>
    <s v="Completed"/>
    <s v="RCB"/>
  </r>
  <r>
    <n v="70"/>
    <d v="2026-05-24T00:00:00"/>
    <x v="3"/>
    <s v="DC"/>
    <s v="KKR"/>
    <s v="DC"/>
    <s v="KKR"/>
    <n v="203"/>
    <n v="5"/>
    <n v="20"/>
    <n v="120"/>
    <n v="10.15"/>
    <n v="163"/>
    <n v="10"/>
    <n v="18.399999999999999"/>
    <n v="112"/>
    <n v="8.7321428571428577"/>
    <s v="Completed"/>
    <s v="DC"/>
  </r>
  <r>
    <n v="69"/>
    <d v="2026-05-24T00:00:00"/>
    <x v="4"/>
    <s v="RR"/>
    <s v="MI"/>
    <s v="RR"/>
    <s v="MI"/>
    <n v="205"/>
    <n v="8"/>
    <n v="20"/>
    <n v="120"/>
    <n v="10.25"/>
    <n v="175"/>
    <n v="9"/>
    <n v="20"/>
    <n v="120"/>
    <n v="8.75"/>
    <s v="Completed"/>
    <s v="RR"/>
  </r>
  <r>
    <n v="68"/>
    <d v="2026-05-23T00:00:00"/>
    <x v="5"/>
    <s v="LSG"/>
    <s v="PBKS"/>
    <s v="LSG"/>
    <s v="PBKS"/>
    <n v="196"/>
    <n v="6"/>
    <n v="20"/>
    <n v="120"/>
    <n v="9.8000000000000007"/>
    <n v="200"/>
    <n v="3"/>
    <n v="18"/>
    <n v="108"/>
    <n v="11.111111111111111"/>
    <s v="Completed"/>
    <s v="PBKS"/>
  </r>
  <r>
    <n v="67"/>
    <d v="2026-05-22T00:00:00"/>
    <x v="6"/>
    <s v="SRH"/>
    <s v="RCB"/>
    <s v="SRH"/>
    <s v="RCB"/>
    <n v="255"/>
    <n v="4"/>
    <n v="20"/>
    <n v="120"/>
    <n v="12.75"/>
    <n v="200"/>
    <n v="4"/>
    <n v="20"/>
    <n v="120"/>
    <n v="10"/>
    <s v="Completed"/>
    <s v="SRH"/>
  </r>
  <r>
    <n v="66"/>
    <d v="2026-05-21T00:00:00"/>
    <x v="0"/>
    <s v="GT"/>
    <s v="CSK"/>
    <s v="GT"/>
    <s v="CSK"/>
    <n v="229"/>
    <n v="4"/>
    <n v="20"/>
    <n v="120"/>
    <n v="11.45"/>
    <n v="140"/>
    <n v="10"/>
    <n v="13.4"/>
    <n v="82"/>
    <n v="10.24390243902439"/>
    <s v="Completed"/>
    <s v="GT"/>
  </r>
  <r>
    <n v="65"/>
    <d v="2026-05-20T00:00:00"/>
    <x v="3"/>
    <s v="MI"/>
    <s v="KKR"/>
    <s v="MI"/>
    <s v="KKR"/>
    <n v="147"/>
    <n v="8"/>
    <n v="20"/>
    <n v="120"/>
    <n v="7.35"/>
    <n v="148"/>
    <n v="6"/>
    <n v="18.5"/>
    <n v="113"/>
    <n v="7.8584070796460175"/>
    <s v="Completed"/>
    <s v="KKR"/>
  </r>
  <r>
    <n v="64"/>
    <d v="2026-05-19T00:00:00"/>
    <x v="7"/>
    <s v="LSG"/>
    <s v="RR"/>
    <s v="LSG"/>
    <s v="RR"/>
    <n v="220"/>
    <n v="5"/>
    <n v="20"/>
    <n v="120"/>
    <n v="11"/>
    <n v="225"/>
    <n v="3"/>
    <n v="19.100000000000001"/>
    <n v="115"/>
    <n v="11.739130434782609"/>
    <s v="Completed"/>
    <s v="RR"/>
  </r>
  <r>
    <n v="63"/>
    <d v="2026-05-18T00:00:00"/>
    <x v="8"/>
    <s v="CSK"/>
    <s v="SRH"/>
    <s v="CSK"/>
    <s v="SRH"/>
    <n v="180"/>
    <n v="7"/>
    <n v="20"/>
    <n v="120"/>
    <n v="9"/>
    <n v="181"/>
    <n v="5"/>
    <n v="19"/>
    <n v="114"/>
    <n v="9.526315789473685"/>
    <s v="Completed"/>
    <s v="SRH"/>
  </r>
  <r>
    <n v="62"/>
    <d v="2026-05-17T00:00:00"/>
    <x v="9"/>
    <s v="RR"/>
    <s v="DC"/>
    <s v="RR"/>
    <s v="DC"/>
    <n v="193"/>
    <n v="8"/>
    <n v="20"/>
    <n v="120"/>
    <n v="9.65"/>
    <n v="197"/>
    <n v="5"/>
    <n v="19.2"/>
    <n v="116"/>
    <n v="10.189655172413794"/>
    <s v="Completed"/>
    <s v="DC"/>
  </r>
  <r>
    <n v="61"/>
    <d v="2026-05-17T00:00:00"/>
    <x v="2"/>
    <s v="RCB"/>
    <s v="PBKS"/>
    <s v="RCB"/>
    <s v="PBKS"/>
    <n v="222"/>
    <n v="4"/>
    <n v="20"/>
    <n v="120"/>
    <n v="11.1"/>
    <n v="199"/>
    <n v="8"/>
    <n v="20"/>
    <n v="120"/>
    <n v="9.9499999999999993"/>
    <s v="Completed"/>
    <s v="RCB"/>
  </r>
  <r>
    <n v="60"/>
    <d v="2026-05-16T00:00:00"/>
    <x v="3"/>
    <s v="KKR"/>
    <s v="GT"/>
    <s v="KKR"/>
    <s v="GT"/>
    <n v="247"/>
    <n v="2"/>
    <n v="20"/>
    <n v="120"/>
    <n v="12.35"/>
    <n v="218"/>
    <n v="4"/>
    <n v="20"/>
    <n v="120"/>
    <n v="10.9"/>
    <s v="Completed"/>
    <s v="KKR"/>
  </r>
  <r>
    <n v="59"/>
    <d v="2026-05-15T00:00:00"/>
    <x v="5"/>
    <s v="CSK"/>
    <s v="LSG"/>
    <s v="CSK"/>
    <s v="LSG"/>
    <n v="187"/>
    <n v="5"/>
    <n v="20"/>
    <n v="120"/>
    <n v="9.35"/>
    <n v="188"/>
    <n v="3"/>
    <n v="16.399999999999999"/>
    <n v="100"/>
    <n v="11.28"/>
    <s v="Completed"/>
    <s v="LSG"/>
  </r>
  <r>
    <n v="58"/>
    <d v="2026-05-14T00:00:00"/>
    <x v="2"/>
    <s v="PBKS"/>
    <s v="MI"/>
    <s v="PBKS"/>
    <s v="MI"/>
    <n v="200"/>
    <n v="8"/>
    <n v="20"/>
    <n v="120"/>
    <n v="10"/>
    <n v="205"/>
    <n v="4"/>
    <n v="19.5"/>
    <n v="119"/>
    <n v="10.336134453781513"/>
    <s v="Completed"/>
    <s v="MI"/>
  </r>
  <r>
    <n v="57"/>
    <d v="2026-05-13T00:00:00"/>
    <x v="10"/>
    <s v="KKR"/>
    <s v="RCB"/>
    <s v="KKR"/>
    <s v="RCB"/>
    <n v="192"/>
    <n v="4"/>
    <n v="20"/>
    <n v="120"/>
    <n v="9.6"/>
    <n v="194"/>
    <n v="4"/>
    <n v="19.100000000000001"/>
    <n v="115"/>
    <n v="10.121739130434783"/>
    <s v="Completed"/>
    <s v="RCB"/>
  </r>
  <r>
    <n v="56"/>
    <d v="2026-05-12T00:00:00"/>
    <x v="0"/>
    <s v="GT"/>
    <s v="SRH"/>
    <s v="GT"/>
    <s v="SRH"/>
    <n v="168"/>
    <n v="5"/>
    <n v="20"/>
    <n v="120"/>
    <n v="8.4"/>
    <n v="86"/>
    <n v="10"/>
    <n v="14.5"/>
    <n v="89"/>
    <n v="5.797752808988764"/>
    <s v="Completed"/>
    <s v="GT"/>
  </r>
  <r>
    <n v="55"/>
    <d v="2026-05-11T00:00:00"/>
    <x v="2"/>
    <s v="PBKS"/>
    <s v="DC"/>
    <s v="PBKS"/>
    <s v="DC"/>
    <n v="210"/>
    <n v="5"/>
    <n v="20"/>
    <n v="120"/>
    <n v="10.5"/>
    <n v="216"/>
    <n v="7"/>
    <n v="19"/>
    <n v="114"/>
    <n v="11.368421052631579"/>
    <s v="Completed"/>
    <s v="DC"/>
  </r>
  <r>
    <n v="54"/>
    <d v="2026-05-10T00:00:00"/>
    <x v="10"/>
    <s v="MI"/>
    <s v="RCB"/>
    <s v="MI"/>
    <s v="RCB"/>
    <n v="166"/>
    <n v="7"/>
    <n v="20"/>
    <n v="120"/>
    <n v="8.3000000000000007"/>
    <n v="167"/>
    <n v="8"/>
    <n v="20"/>
    <n v="120"/>
    <n v="8.35"/>
    <s v="Completed"/>
    <s v="RCB"/>
  </r>
  <r>
    <n v="53"/>
    <d v="2026-05-10T00:00:00"/>
    <x v="8"/>
    <s v="LSG"/>
    <s v="CSK"/>
    <s v="LSG"/>
    <s v="CSK"/>
    <n v="203"/>
    <n v="8"/>
    <n v="20"/>
    <n v="120"/>
    <n v="10.15"/>
    <n v="208"/>
    <n v="5"/>
    <n v="19.2"/>
    <n v="116"/>
    <n v="10.758620689655173"/>
    <s v="Completed"/>
    <s v="CSK"/>
  </r>
  <r>
    <n v="52"/>
    <d v="2026-05-09T00:00:00"/>
    <x v="7"/>
    <s v="GT"/>
    <s v="RR"/>
    <s v="GT"/>
    <s v="RR"/>
    <n v="229"/>
    <n v="4"/>
    <n v="20"/>
    <n v="120"/>
    <n v="11.45"/>
    <n v="152"/>
    <n v="10"/>
    <n v="16.3"/>
    <n v="99"/>
    <n v="9.2121212121212128"/>
    <s v="Completed"/>
    <s v="GT"/>
  </r>
  <r>
    <n v="51"/>
    <d v="2026-05-08T00:00:00"/>
    <x v="9"/>
    <s v="DC"/>
    <s v="KKR"/>
    <s v="DC"/>
    <s v="KKR"/>
    <n v="142"/>
    <n v="8"/>
    <n v="20"/>
    <n v="120"/>
    <n v="7.1"/>
    <n v="147"/>
    <n v="2"/>
    <n v="14.2"/>
    <n v="86"/>
    <n v="10.255813953488373"/>
    <s v="Completed"/>
    <s v="KKR"/>
  </r>
  <r>
    <n v="50"/>
    <d v="2026-05-07T00:00:00"/>
    <x v="5"/>
    <s v="LSG"/>
    <s v="RCB"/>
    <s v="LSG"/>
    <s v="RCB"/>
    <n v="209"/>
    <n v="3"/>
    <n v="19"/>
    <n v="114"/>
    <n v="11"/>
    <n v="203"/>
    <n v="6"/>
    <n v="19"/>
    <n v="114"/>
    <n v="10.684210526315789"/>
    <s v="Completed"/>
    <s v="LSG"/>
  </r>
  <r>
    <n v="49"/>
    <d v="2026-05-06T00:00:00"/>
    <x v="6"/>
    <s v="SRH"/>
    <s v="PBKS"/>
    <s v="SRH"/>
    <s v="PBKS"/>
    <n v="235"/>
    <n v="4"/>
    <n v="20"/>
    <n v="120"/>
    <n v="11.75"/>
    <n v="202"/>
    <n v="7"/>
    <n v="20"/>
    <n v="120"/>
    <n v="10.1"/>
    <s v="Completed"/>
    <s v="SRH"/>
  </r>
  <r>
    <n v="48"/>
    <d v="2026-05-05T00:00:00"/>
    <x v="9"/>
    <s v="DC"/>
    <s v="CSK"/>
    <s v="DC"/>
    <s v="CSK"/>
    <n v="155"/>
    <n v="7"/>
    <n v="20"/>
    <n v="120"/>
    <n v="7.75"/>
    <n v="159"/>
    <n v="2"/>
    <n v="17.3"/>
    <n v="105"/>
    <n v="9.0857142857142854"/>
    <s v="Completed"/>
    <s v="CSK"/>
  </r>
  <r>
    <n v="47"/>
    <d v="2026-05-04T00:00:00"/>
    <x v="4"/>
    <s v="LSG"/>
    <s v="MI"/>
    <s v="LSG"/>
    <s v="MI"/>
    <n v="228"/>
    <n v="5"/>
    <n v="20"/>
    <n v="120"/>
    <n v="11.4"/>
    <n v="229"/>
    <n v="4"/>
    <n v="18.399999999999999"/>
    <n v="112"/>
    <n v="12.267857142857142"/>
    <s v="Completed"/>
    <s v="MI"/>
  </r>
  <r>
    <n v="46"/>
    <d v="2026-05-03T00:00:00"/>
    <x v="0"/>
    <s v="PBKS"/>
    <s v="GT"/>
    <s v="PBKS"/>
    <s v="GT"/>
    <n v="163"/>
    <n v="9"/>
    <n v="20"/>
    <n v="120"/>
    <n v="8.15"/>
    <n v="167"/>
    <n v="6"/>
    <n v="19.5"/>
    <n v="119"/>
    <n v="8.420168067226891"/>
    <s v="Completed"/>
    <s v="GT"/>
  </r>
  <r>
    <n v="45"/>
    <d v="2026-05-03T00:00:00"/>
    <x v="6"/>
    <s v="SRH"/>
    <s v="KKR"/>
    <s v="SRH"/>
    <s v="KKR"/>
    <n v="165"/>
    <n v="10"/>
    <n v="19"/>
    <n v="114"/>
    <n v="8.6842105263157894"/>
    <n v="169"/>
    <n v="3"/>
    <n v="18.2"/>
    <n v="110"/>
    <n v="9.2181818181818187"/>
    <s v="Completed"/>
    <s v="KKR"/>
  </r>
  <r>
    <n v="44"/>
    <d v="2026-05-02T00:00:00"/>
    <x v="8"/>
    <s v="MI"/>
    <s v="CSK"/>
    <s v="MI"/>
    <s v="CSK"/>
    <n v="159"/>
    <n v="7"/>
    <n v="20"/>
    <n v="120"/>
    <n v="7.95"/>
    <n v="160"/>
    <n v="2"/>
    <n v="18.100000000000001"/>
    <n v="109"/>
    <n v="8.8073394495412849"/>
    <s v="Completed"/>
    <s v="CSK"/>
  </r>
  <r>
    <n v="43"/>
    <d v="2026-05-01T00:00:00"/>
    <x v="7"/>
    <s v="RR"/>
    <s v="DC"/>
    <s v="RR"/>
    <s v="DC"/>
    <n v="225"/>
    <n v="6"/>
    <n v="20"/>
    <n v="120"/>
    <n v="11.25"/>
    <n v="226"/>
    <n v="3"/>
    <n v="19.100000000000001"/>
    <n v="115"/>
    <n v="11.791304347826086"/>
    <s v="Completed"/>
    <s v="DC"/>
  </r>
  <r>
    <n v="42"/>
    <d v="2026-04-30T00:00:00"/>
    <x v="0"/>
    <s v="RCB"/>
    <s v="GT"/>
    <s v="RCB"/>
    <s v="GT"/>
    <n v="155"/>
    <n v="10"/>
    <n v="19.2"/>
    <n v="116"/>
    <n v="8.0172413793103452"/>
    <n v="158"/>
    <n v="6"/>
    <n v="15.5"/>
    <n v="95"/>
    <n v="9.9789473684210535"/>
    <s v="Completed"/>
    <s v="GT"/>
  </r>
  <r>
    <n v="41"/>
    <d v="2026-04-29T00:00:00"/>
    <x v="4"/>
    <s v="MI"/>
    <s v="SRH"/>
    <s v="MI"/>
    <s v="SRH"/>
    <n v="243"/>
    <n v="5"/>
    <n v="20"/>
    <n v="120"/>
    <n v="12.15"/>
    <n v="249"/>
    <n v="4"/>
    <n v="18.399999999999999"/>
    <n v="112"/>
    <n v="13.339285714285714"/>
    <s v="Completed"/>
    <s v="SRH"/>
  </r>
  <r>
    <n v="40"/>
    <d v="2026-04-28T00:00:00"/>
    <x v="1"/>
    <s v="PBKS"/>
    <s v="RR"/>
    <s v="PBKS"/>
    <s v="RR"/>
    <n v="222"/>
    <n v="4"/>
    <n v="20"/>
    <n v="120"/>
    <n v="11.1"/>
    <n v="228"/>
    <n v="4"/>
    <n v="19.2"/>
    <n v="116"/>
    <n v="11.793103448275861"/>
    <s v="Completed"/>
    <s v="RR"/>
  </r>
  <r>
    <n v="39"/>
    <d v="2026-04-27T00:00:00"/>
    <x v="9"/>
    <s v="DC"/>
    <s v="RCB"/>
    <s v="DC"/>
    <s v="RCB"/>
    <n v="75"/>
    <n v="10"/>
    <n v="16.3"/>
    <n v="99"/>
    <n v="4.5454545454545459"/>
    <n v="77"/>
    <n v="1"/>
    <n v="6.3"/>
    <n v="39"/>
    <n v="11.846153846153847"/>
    <s v="Completed"/>
    <s v="RCB"/>
  </r>
  <r>
    <n v="38"/>
    <d v="2026-04-26T00:00:00"/>
    <x v="5"/>
    <s v="LSG"/>
    <s v="KKR"/>
    <s v="LSG"/>
    <s v="KKR"/>
    <n v="155"/>
    <n v="8"/>
    <n v="20"/>
    <n v="120"/>
    <n v="7.75"/>
    <n v="155"/>
    <n v="7"/>
    <n v="20"/>
    <n v="120"/>
    <n v="7.75"/>
    <s v="Completed (SO)"/>
    <s v="KKR"/>
  </r>
  <r>
    <n v="37"/>
    <d v="2026-04-26T00:00:00"/>
    <x v="8"/>
    <s v="CSK"/>
    <s v="GT"/>
    <s v="CSK"/>
    <s v="GT"/>
    <n v="158"/>
    <n v="7"/>
    <n v="20"/>
    <n v="120"/>
    <n v="7.9"/>
    <n v="162"/>
    <n v="2"/>
    <n v="16.399999999999999"/>
    <n v="100"/>
    <n v="9.7200000000000006"/>
    <s v="Completed"/>
    <s v="GT"/>
  </r>
  <r>
    <n v="36"/>
    <d v="2026-04-25T00:00:00"/>
    <x v="7"/>
    <s v="RR"/>
    <s v="SRH"/>
    <s v="RR"/>
    <s v="SRH"/>
    <n v="228"/>
    <n v="6"/>
    <n v="20"/>
    <n v="120"/>
    <n v="11.4"/>
    <n v="229"/>
    <n v="5"/>
    <n v="18.3"/>
    <n v="111"/>
    <n v="12.378378378378379"/>
    <s v="Completed"/>
    <s v="SRH"/>
  </r>
  <r>
    <n v="35"/>
    <d v="2026-04-25T00:00:00"/>
    <x v="9"/>
    <s v="DC"/>
    <s v="PBKS"/>
    <s v="DC"/>
    <s v="PBKS"/>
    <n v="264"/>
    <n v="2"/>
    <n v="20"/>
    <n v="120"/>
    <n v="13.2"/>
    <n v="265"/>
    <n v="4"/>
    <n v="18.5"/>
    <n v="113"/>
    <n v="14.070796460176991"/>
    <s v="Completed"/>
    <s v="PBKS"/>
  </r>
  <r>
    <n v="34"/>
    <d v="2026-04-24T00:00:00"/>
    <x v="11"/>
    <s v="GT"/>
    <s v="RCB"/>
    <s v="GT"/>
    <s v="RCB"/>
    <n v="205"/>
    <n v="3"/>
    <n v="20"/>
    <n v="120"/>
    <n v="10.25"/>
    <n v="206"/>
    <n v="5"/>
    <n v="18.5"/>
    <n v="113"/>
    <n v="10.938053097345133"/>
    <s v="Completed"/>
    <s v="RCB"/>
  </r>
  <r>
    <n v="33"/>
    <d v="2026-04-23T00:00:00"/>
    <x v="4"/>
    <s v="CSK"/>
    <s v="MI"/>
    <s v="CSK"/>
    <s v="MI"/>
    <n v="207"/>
    <n v="6"/>
    <n v="20"/>
    <n v="120"/>
    <n v="10.35"/>
    <n v="104"/>
    <n v="10"/>
    <n v="19"/>
    <n v="114"/>
    <n v="5.4736842105263159"/>
    <s v="Completed"/>
    <s v="CSK"/>
  </r>
  <r>
    <n v="32"/>
    <d v="2026-04-22T00:00:00"/>
    <x v="5"/>
    <s v="RR"/>
    <s v="LSG"/>
    <s v="RR"/>
    <s v="LSG"/>
    <n v="159"/>
    <n v="6"/>
    <n v="20"/>
    <n v="120"/>
    <n v="7.95"/>
    <n v="119"/>
    <n v="10"/>
    <n v="18"/>
    <n v="108"/>
    <n v="6.6111111111111107"/>
    <s v="Completed"/>
    <s v="RR"/>
  </r>
  <r>
    <n v="31"/>
    <d v="2026-04-21T00:00:00"/>
    <x v="6"/>
    <s v="SRH"/>
    <s v="DC"/>
    <s v="SRH"/>
    <s v="DC"/>
    <n v="242"/>
    <n v="2"/>
    <n v="20"/>
    <n v="120"/>
    <n v="12.1"/>
    <n v="195"/>
    <n v="9"/>
    <n v="20"/>
    <n v="120"/>
    <n v="9.75"/>
    <s v="Completed"/>
    <s v="SRH"/>
  </r>
  <r>
    <n v="30"/>
    <d v="2026-04-20T00:00:00"/>
    <x v="0"/>
    <s v="MI"/>
    <s v="GT"/>
    <s v="MI"/>
    <s v="GT"/>
    <n v="199"/>
    <n v="5"/>
    <n v="20"/>
    <n v="120"/>
    <n v="9.9499999999999993"/>
    <n v="100"/>
    <n v="10"/>
    <n v="15.5"/>
    <n v="95"/>
    <n v="6.3157894736842106"/>
    <s v="Completed"/>
    <s v="MI"/>
  </r>
  <r>
    <n v="29"/>
    <d v="2026-04-19T00:00:00"/>
    <x v="1"/>
    <s v="PBKS"/>
    <s v="LSG"/>
    <s v="PBKS"/>
    <s v="LSG"/>
    <n v="254"/>
    <n v="7"/>
    <n v="20"/>
    <n v="120"/>
    <n v="12.7"/>
    <n v="200"/>
    <n v="5"/>
    <n v="20"/>
    <n v="120"/>
    <n v="10"/>
    <s v="Completed"/>
    <s v="PBKS"/>
  </r>
  <r>
    <n v="28"/>
    <d v="2026-04-19T00:00:00"/>
    <x v="3"/>
    <s v="RR"/>
    <s v="KKR"/>
    <s v="RR"/>
    <s v="KKR"/>
    <n v="155"/>
    <n v="9"/>
    <n v="20"/>
    <n v="120"/>
    <n v="7.75"/>
    <n v="161"/>
    <n v="6"/>
    <n v="19.399999999999999"/>
    <n v="118"/>
    <n v="8.1864406779661021"/>
    <s v="Completed"/>
    <s v="KKR"/>
  </r>
  <r>
    <n v="27"/>
    <d v="2026-04-18T00:00:00"/>
    <x v="6"/>
    <s v="SRH"/>
    <s v="CSK"/>
    <s v="SRH"/>
    <s v="CSK"/>
    <n v="194"/>
    <n v="9"/>
    <n v="20"/>
    <n v="120"/>
    <n v="9.6999999999999993"/>
    <n v="184"/>
    <n v="8"/>
    <n v="20"/>
    <n v="120"/>
    <n v="9.1999999999999993"/>
    <s v="Completed"/>
    <s v="SRH"/>
  </r>
  <r>
    <n v="26"/>
    <d v="2026-04-18T00:00:00"/>
    <x v="11"/>
    <s v="RCB"/>
    <s v="DC"/>
    <s v="RCB"/>
    <s v="DC"/>
    <n v="175"/>
    <n v="8"/>
    <n v="20"/>
    <n v="120"/>
    <n v="8.75"/>
    <n v="179"/>
    <n v="4"/>
    <n v="19.5"/>
    <n v="119"/>
    <n v="9.0252100840336134"/>
    <s v="Completed"/>
    <s v="DC"/>
  </r>
  <r>
    <n v="25"/>
    <d v="2026-04-17T00:00:00"/>
    <x v="0"/>
    <s v="KKR"/>
    <s v="GT"/>
    <s v="KKR"/>
    <s v="GT"/>
    <n v="180"/>
    <n v="10"/>
    <n v="20"/>
    <n v="120"/>
    <n v="9"/>
    <n v="181"/>
    <n v="5"/>
    <n v="19.399999999999999"/>
    <n v="118"/>
    <n v="9.203389830508474"/>
    <s v="Completed"/>
    <s v="GT"/>
  </r>
  <r>
    <n v="24"/>
    <d v="2026-04-16T00:00:00"/>
    <x v="4"/>
    <s v="MI"/>
    <s v="PBKS"/>
    <s v="MI"/>
    <s v="PBKS"/>
    <n v="195"/>
    <n v="6"/>
    <n v="20"/>
    <n v="120"/>
    <n v="9.75"/>
    <n v="198"/>
    <n v="3"/>
    <n v="16.3"/>
    <n v="99"/>
    <n v="12"/>
    <s v="Completed"/>
    <s v="PBKS"/>
  </r>
  <r>
    <n v="23"/>
    <d v="2026-04-15T00:00:00"/>
    <x v="11"/>
    <s v="LSG"/>
    <s v="RCB"/>
    <s v="LSG"/>
    <s v="RCB"/>
    <n v="146"/>
    <n v="10"/>
    <n v="20"/>
    <n v="120"/>
    <n v="7.3"/>
    <n v="149"/>
    <n v="5"/>
    <n v="15.1"/>
    <n v="91"/>
    <n v="9.8241758241758248"/>
    <s v="Completed"/>
    <s v="RCB"/>
  </r>
  <r>
    <n v="22"/>
    <d v="2026-04-14T00:00:00"/>
    <x v="8"/>
    <s v="CSK"/>
    <s v="KKR"/>
    <s v="CSK"/>
    <s v="KKR"/>
    <n v="192"/>
    <n v="5"/>
    <n v="20"/>
    <n v="120"/>
    <n v="9.6"/>
    <n v="160"/>
    <n v="7"/>
    <n v="20"/>
    <n v="120"/>
    <n v="8"/>
    <s v="Completed"/>
    <s v="CSK"/>
  </r>
  <r>
    <n v="21"/>
    <d v="2026-04-13T00:00:00"/>
    <x v="6"/>
    <s v="SRH"/>
    <s v="RR"/>
    <s v="SRH"/>
    <s v="RR"/>
    <n v="216"/>
    <n v="6"/>
    <n v="20"/>
    <n v="120"/>
    <n v="10.8"/>
    <n v="159"/>
    <n v="10"/>
    <n v="19"/>
    <n v="114"/>
    <n v="8.3684210526315788"/>
    <s v="Completed"/>
    <s v="SRH"/>
  </r>
  <r>
    <n v="20"/>
    <d v="2026-04-12T00:00:00"/>
    <x v="4"/>
    <s v="RCB"/>
    <s v="MI"/>
    <s v="RCB"/>
    <s v="MI"/>
    <n v="240"/>
    <n v="4"/>
    <n v="20"/>
    <n v="120"/>
    <n v="12"/>
    <n v="222"/>
    <n v="5"/>
    <n v="20"/>
    <n v="120"/>
    <n v="11.1"/>
    <s v="Completed"/>
    <s v="RCB"/>
  </r>
  <r>
    <n v="19"/>
    <d v="2026-04-12T00:00:00"/>
    <x v="5"/>
    <s v="LSG"/>
    <s v="GT"/>
    <s v="LSG"/>
    <s v="GT"/>
    <n v="164"/>
    <n v="8"/>
    <n v="20"/>
    <n v="120"/>
    <n v="8.1999999999999993"/>
    <n v="165"/>
    <n v="3"/>
    <n v="18.399999999999999"/>
    <n v="112"/>
    <n v="8.8392857142857135"/>
    <s v="Completed"/>
    <s v="GT"/>
  </r>
  <r>
    <n v="18"/>
    <d v="2026-04-11T00:00:00"/>
    <x v="8"/>
    <s v="CSK"/>
    <s v="DC"/>
    <s v="CSK"/>
    <s v="DC"/>
    <n v="212"/>
    <n v="2"/>
    <n v="20"/>
    <n v="120"/>
    <n v="10.6"/>
    <n v="189"/>
    <n v="10"/>
    <n v="20"/>
    <n v="120"/>
    <n v="9.4499999999999993"/>
    <s v="Completed"/>
    <s v="CSK"/>
  </r>
  <r>
    <n v="17"/>
    <d v="2026-04-11T00:00:00"/>
    <x v="1"/>
    <s v="SRH"/>
    <s v="PBKS"/>
    <s v="SRH"/>
    <s v="PBKS"/>
    <n v="219"/>
    <n v="6"/>
    <n v="20"/>
    <n v="120"/>
    <n v="10.95"/>
    <n v="223"/>
    <n v="4"/>
    <n v="18.5"/>
    <n v="113"/>
    <n v="11.840707964601769"/>
    <s v="Completed"/>
    <s v="PBKS"/>
  </r>
  <r>
    <n v="16"/>
    <d v="2026-04-10T00:00:00"/>
    <x v="12"/>
    <s v="RCB"/>
    <s v="RR"/>
    <s v="RCB"/>
    <s v="RR"/>
    <n v="201"/>
    <n v="8"/>
    <n v="20"/>
    <n v="120"/>
    <n v="10.050000000000001"/>
    <n v="202"/>
    <n v="4"/>
    <n v="18"/>
    <n v="108"/>
    <n v="11.222222222222221"/>
    <s v="Completed"/>
    <s v="RR"/>
  </r>
  <r>
    <n v="15"/>
    <d v="2026-04-09T00:00:00"/>
    <x v="3"/>
    <s v="KKR"/>
    <s v="LSG"/>
    <s v="KKR"/>
    <s v="LSG"/>
    <n v="181"/>
    <n v="4"/>
    <n v="20"/>
    <n v="120"/>
    <n v="9.0500000000000007"/>
    <n v="182"/>
    <n v="7"/>
    <n v="20"/>
    <n v="120"/>
    <n v="9.1"/>
    <s v="Completed"/>
    <s v="LSG"/>
  </r>
  <r>
    <n v="14"/>
    <d v="2026-04-08T00:00:00"/>
    <x v="9"/>
    <s v="GT"/>
    <s v="DC"/>
    <s v="GT"/>
    <s v="DC"/>
    <n v="210"/>
    <n v="4"/>
    <n v="20"/>
    <n v="120"/>
    <n v="10.5"/>
    <n v="209"/>
    <n v="8"/>
    <n v="20"/>
    <n v="120"/>
    <n v="10.45"/>
    <s v="Completed"/>
    <s v="GT"/>
  </r>
  <r>
    <n v="13"/>
    <d v="2026-04-07T00:00:00"/>
    <x v="12"/>
    <s v="RR"/>
    <s v="MI"/>
    <s v="RR"/>
    <s v="MI"/>
    <n v="150"/>
    <n v="3"/>
    <n v="11"/>
    <n v="66"/>
    <n v="13.636363636363637"/>
    <n v="123"/>
    <n v="9"/>
    <n v="11"/>
    <n v="66"/>
    <n v="11.181818181818182"/>
    <s v="Completed"/>
    <s v="RR"/>
  </r>
  <r>
    <n v="12"/>
    <d v="2026-04-06T00:00:00"/>
    <x v="3"/>
    <s v="KKR"/>
    <s v="PBKS"/>
    <s v="KKR"/>
    <s v="PBKS"/>
    <n v="25"/>
    <n v="2"/>
    <n v="3.4"/>
    <n v="22"/>
    <n v="6.8181818181818183"/>
    <s v="N/A"/>
    <s v="N/A"/>
    <s v="N/A"/>
    <e v="#VALUE!"/>
    <s v=""/>
    <s v="Abandoned"/>
    <s v="N/A"/>
  </r>
  <r>
    <n v="11"/>
    <d v="2026-04-05T00:00:00"/>
    <x v="11"/>
    <s v="RCB"/>
    <s v="CSK"/>
    <s v="RCB"/>
    <s v="CSK"/>
    <n v="250"/>
    <n v="3"/>
    <n v="20"/>
    <n v="120"/>
    <n v="12.5"/>
    <n v="207"/>
    <n v="10"/>
    <n v="19.399999999999999"/>
    <n v="118"/>
    <n v="10.525423728813559"/>
    <s v="Completed"/>
    <s v="RCB"/>
  </r>
  <r>
    <n v="10"/>
    <d v="2026-04-05T00:00:00"/>
    <x v="6"/>
    <s v="SRH"/>
    <s v="LSG"/>
    <s v="SRH"/>
    <s v="LSG"/>
    <n v="156"/>
    <n v="9"/>
    <n v="20"/>
    <n v="120"/>
    <n v="7.8"/>
    <n v="160"/>
    <n v="5"/>
    <n v="19.5"/>
    <n v="119"/>
    <n v="8.0672268907563023"/>
    <s v="Completed"/>
    <s v="LSG"/>
  </r>
  <r>
    <n v="9"/>
    <d v="2026-04-04T00:00:00"/>
    <x v="0"/>
    <s v="RR"/>
    <s v="GT"/>
    <s v="RR"/>
    <s v="GT"/>
    <n v="210"/>
    <n v="6"/>
    <n v="20"/>
    <n v="120"/>
    <n v="10.5"/>
    <n v="204"/>
    <n v="8"/>
    <n v="20"/>
    <n v="120"/>
    <n v="10.199999999999999"/>
    <s v="Completed"/>
    <s v="RR"/>
  </r>
  <r>
    <n v="8"/>
    <d v="2026-04-04T00:00:00"/>
    <x v="9"/>
    <s v="MI"/>
    <s v="DC"/>
    <s v="MI"/>
    <s v="DC"/>
    <n v="162"/>
    <n v="6"/>
    <n v="20"/>
    <n v="120"/>
    <n v="8.1"/>
    <n v="164"/>
    <n v="4"/>
    <n v="18.100000000000001"/>
    <n v="109"/>
    <n v="9.0275229357798157"/>
    <s v="Completed"/>
    <s v="DC"/>
  </r>
  <r>
    <n v="7"/>
    <d v="2026-04-03T00:00:00"/>
    <x v="8"/>
    <s v="CSK"/>
    <s v="PBKS"/>
    <s v="CSK"/>
    <s v="PBKS"/>
    <n v="209"/>
    <n v="5"/>
    <n v="20"/>
    <n v="120"/>
    <n v="10.45"/>
    <n v="210"/>
    <n v="5"/>
    <n v="18.399999999999999"/>
    <n v="112"/>
    <n v="11.25"/>
    <s v="Completed"/>
    <s v="PBKS"/>
  </r>
  <r>
    <n v="6"/>
    <d v="2026-04-02T00:00:00"/>
    <x v="3"/>
    <s v="SRH"/>
    <s v="KKR"/>
    <s v="SRH"/>
    <s v="KKR"/>
    <n v="226"/>
    <n v="8"/>
    <n v="20"/>
    <n v="120"/>
    <n v="11.3"/>
    <n v="161"/>
    <n v="10"/>
    <n v="16"/>
    <n v="96"/>
    <n v="10.0625"/>
    <s v="Completed"/>
    <s v="SRH"/>
  </r>
  <r>
    <n v="5"/>
    <d v="2026-04-01T00:00:00"/>
    <x v="5"/>
    <s v="DC"/>
    <s v="LSG"/>
    <s v="DC"/>
    <s v="LSG"/>
    <n v="145"/>
    <n v="4"/>
    <n v="17.100000000000001"/>
    <n v="103"/>
    <n v="8.4466019417475735"/>
    <n v="141"/>
    <n v="10"/>
    <n v="18.399999999999999"/>
    <n v="112"/>
    <n v="7.5535714285714288"/>
    <s v="Completed"/>
    <s v="DC"/>
  </r>
  <r>
    <n v="4"/>
    <d v="2026-03-31T00:00:00"/>
    <x v="1"/>
    <s v="GT"/>
    <s v="PBKS"/>
    <s v="GT"/>
    <s v="PBKS"/>
    <n v="162"/>
    <n v="6"/>
    <n v="20"/>
    <n v="120"/>
    <n v="8.1"/>
    <n v="165"/>
    <n v="7"/>
    <n v="19.100000000000001"/>
    <n v="115"/>
    <n v="8.6086956521739122"/>
    <s v="Completed"/>
    <s v="PBKS"/>
  </r>
  <r>
    <n v="3"/>
    <d v="2026-03-30T00:00:00"/>
    <x v="12"/>
    <s v="CSK"/>
    <s v="RR"/>
    <s v="CSK"/>
    <s v="RR"/>
    <n v="127"/>
    <n v="10"/>
    <n v="19.399999999999999"/>
    <n v="118"/>
    <n v="6.4576271186440675"/>
    <n v="128"/>
    <n v="2"/>
    <n v="12.1"/>
    <n v="73"/>
    <n v="10.520547945205479"/>
    <s v="Completed"/>
    <s v="RR"/>
  </r>
  <r>
    <n v="2"/>
    <d v="2026-03-29T00:00:00"/>
    <x v="4"/>
    <s v="KKR"/>
    <s v="MI"/>
    <s v="KKR"/>
    <s v="MI"/>
    <n v="220"/>
    <n v="4"/>
    <n v="20"/>
    <n v="120"/>
    <n v="11"/>
    <n v="224"/>
    <n v="4"/>
    <n v="19.100000000000001"/>
    <n v="115"/>
    <n v="11.68695652173913"/>
    <s v="Completed"/>
    <s v="MI"/>
  </r>
  <r>
    <n v="1"/>
    <d v="2026-03-28T00:00:00"/>
    <x v="11"/>
    <s v="SRH"/>
    <s v="RCB"/>
    <s v="SRH"/>
    <s v="RCB"/>
    <n v="201"/>
    <n v="9"/>
    <n v="20"/>
    <n v="120"/>
    <n v="10.050000000000001"/>
    <n v="203"/>
    <n v="4"/>
    <n v="15.4"/>
    <n v="94"/>
    <n v="12.957446808510639"/>
    <s v="Completed"/>
    <s v="RC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FC90AE-0099-4B1D-9F05-3DB00E371EF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7" firstHeaderRow="0" firstDataRow="1" firstDataCol="1"/>
  <pivotFields count="19">
    <pivotField showAll="0"/>
    <pivotField showAll="0"/>
    <pivotField axis="axisRow" showAll="0">
      <items count="28">
        <item m="1" x="14"/>
        <item m="1" x="25"/>
        <item m="1" x="22"/>
        <item m="1" x="23"/>
        <item m="1" x="16"/>
        <item m="1" x="26"/>
        <item m="1" x="20"/>
        <item m="1" x="21"/>
        <item m="1" x="17"/>
        <item m="1" x="19"/>
        <item m="1" x="18"/>
        <item m="1" x="15"/>
        <item m="1" x="24"/>
        <item x="0"/>
        <item x="1"/>
        <item x="2"/>
        <item x="3"/>
        <item x="4"/>
        <item x="5"/>
        <item x="6"/>
        <item x="7"/>
        <item x="8"/>
        <item x="9"/>
        <item x="10"/>
        <item m="1" x="13"/>
        <item x="12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14"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1st Inn RR" fld="11" subtotal="average" baseField="2" baseItem="0"/>
    <dataField name="Average of 2nd Inn RR" fld="16" subtotal="average" baseField="2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D55E1-21BB-465B-8E44-CD01EE06DCC7}">
  <dimension ref="A2:K17"/>
  <sheetViews>
    <sheetView workbookViewId="0">
      <selection activeCell="P19" sqref="P19"/>
    </sheetView>
  </sheetViews>
  <sheetFormatPr defaultRowHeight="12.75" x14ac:dyDescent="0.2"/>
  <cols>
    <col min="1" max="1" width="63.140625" bestFit="1" customWidth="1"/>
    <col min="2" max="2" width="20.7109375" hidden="1" customWidth="1"/>
    <col min="3" max="3" width="21.7109375" hidden="1" customWidth="1"/>
    <col min="4" max="9" width="11.5703125" hidden="1" customWidth="1"/>
    <col min="10" max="10" width="12.28515625" bestFit="1" customWidth="1"/>
    <col min="11" max="11" width="11.5703125" bestFit="1" customWidth="1"/>
  </cols>
  <sheetData>
    <row r="2" spans="1:11" x14ac:dyDescent="0.2">
      <c r="D2" s="8" t="s">
        <v>51</v>
      </c>
      <c r="E2" s="8"/>
      <c r="F2" s="8" t="s">
        <v>52</v>
      </c>
      <c r="G2" s="8"/>
      <c r="H2" s="8" t="s">
        <v>53</v>
      </c>
      <c r="I2" s="8"/>
    </row>
    <row r="3" spans="1:11" x14ac:dyDescent="0.2">
      <c r="A3" s="4" t="s">
        <v>35</v>
      </c>
      <c r="B3" t="s">
        <v>37</v>
      </c>
      <c r="C3" t="s">
        <v>38</v>
      </c>
      <c r="D3" t="s">
        <v>33</v>
      </c>
      <c r="E3" t="s">
        <v>34</v>
      </c>
      <c r="F3" t="s">
        <v>33</v>
      </c>
      <c r="G3" t="s">
        <v>34</v>
      </c>
      <c r="H3" t="s">
        <v>33</v>
      </c>
      <c r="I3" t="s">
        <v>34</v>
      </c>
      <c r="J3" t="s">
        <v>55</v>
      </c>
      <c r="K3" t="s">
        <v>56</v>
      </c>
    </row>
    <row r="4" spans="1:11" x14ac:dyDescent="0.2">
      <c r="A4" s="5" t="s">
        <v>46</v>
      </c>
      <c r="B4" s="6">
        <v>9.1521551724137939</v>
      </c>
      <c r="C4" s="6">
        <v>8.6380493040372794</v>
      </c>
      <c r="D4" s="7">
        <f>IFERROR(VLOOKUP(A4, [1]Sheet1!$A$3:$C$16, 2, 0), "")</f>
        <v>9.7666666666666675</v>
      </c>
      <c r="E4" s="7">
        <f>IFERROR(VLOOKUP(A4, [1]Sheet1!$A$3:$C$16, 3, 0), "")</f>
        <v>8.8721873911529077</v>
      </c>
      <c r="F4" s="7">
        <f>IFERROR(VLOOKUP(A4, [2]Sheet1!$A$3:$C$17, 2, 0), "")</f>
        <v>8.7299450549450555</v>
      </c>
      <c r="G4" s="7">
        <f>IFERROR(VLOOKUP(A4, [2]Sheet1!$A$3:$C$17, 3, 0), "")</f>
        <v>10.149655010151809</v>
      </c>
      <c r="H4" s="7">
        <f>IFERROR(VLOOKUP(A4, [3]Sheet1!$A$3:$C$17, 2, 0), "")</f>
        <v>10.783333333333333</v>
      </c>
      <c r="I4" s="7">
        <f>IFERROR(VLOOKUP(A4, [3]Sheet1!$A$3:$C$17, 3, 0), "")</f>
        <v>9.5351716507796347</v>
      </c>
      <c r="J4" s="7">
        <f>AVERAGE(D4, F4, H4)</f>
        <v>9.7599816849816836</v>
      </c>
      <c r="K4" s="7">
        <f>AVERAGE(E4, G4, I4)</f>
        <v>9.5190046840281166</v>
      </c>
    </row>
    <row r="5" spans="1:11" x14ac:dyDescent="0.2">
      <c r="A5" s="5" t="s">
        <v>41</v>
      </c>
      <c r="B5" s="6">
        <v>10.950000000000001</v>
      </c>
      <c r="C5" s="6">
        <v>10.685430159446193</v>
      </c>
      <c r="D5" s="7" t="str">
        <f>IFERROR(VLOOKUP(A5, [1]Sheet1!$A$3:$C$16, 2, 0), "")</f>
        <v/>
      </c>
      <c r="E5" s="7" t="str">
        <f>IFERROR(VLOOKUP(A5, [1]Sheet1!$A$3:$C$16, 3, 0), "")</f>
        <v/>
      </c>
      <c r="F5" s="7">
        <f>IFERROR(VLOOKUP(A5, [2]Sheet1!$A$3:$C$17, 2, 0), "")</f>
        <v>8.3699999999999992</v>
      </c>
      <c r="G5" s="7">
        <f>IFERROR(VLOOKUP(A5, [2]Sheet1!$A$3:$C$17, 3, 0), "")</f>
        <v>8.5968510702631882</v>
      </c>
      <c r="H5" s="7">
        <f>IFERROR(VLOOKUP(A5, [3]Sheet1!$A$3:$C$17, 2, 0), "")</f>
        <v>9.1234503478810893</v>
      </c>
      <c r="I5" s="7">
        <f>IFERROR(VLOOKUP(A5, [3]Sheet1!$A$3:$C$17, 3, 0), "")</f>
        <v>8.9177023566404099</v>
      </c>
      <c r="J5" s="7">
        <f t="shared" ref="J5:J17" si="0">AVERAGE(D5, F5, H5)</f>
        <v>8.7467251739405434</v>
      </c>
      <c r="K5" s="7">
        <f t="shared" ref="K5:K17" si="1">AVERAGE(E5, G5, I5)</f>
        <v>8.7572767134517981</v>
      </c>
    </row>
    <row r="6" spans="1:11" x14ac:dyDescent="0.2">
      <c r="A6" s="5" t="s">
        <v>50</v>
      </c>
      <c r="B6" s="6">
        <v>11.074999999999999</v>
      </c>
      <c r="C6" s="6">
        <v>9.990561953526349</v>
      </c>
      <c r="D6" s="7">
        <f>IFERROR(VLOOKUP(A6, [1]Sheet1!$A$3:$C$16, 2, 0), "")</f>
        <v>10</v>
      </c>
      <c r="E6" s="7">
        <f>IFERROR(VLOOKUP(A6, [1]Sheet1!$A$3:$C$16, 3, 0), "")</f>
        <v>9.7550847457627121</v>
      </c>
      <c r="F6" s="7">
        <f>IFERROR(VLOOKUP(A6, [2]Sheet1!$A$3:$C$17, 2, 0), "")</f>
        <v>10.199999999999999</v>
      </c>
      <c r="G6" s="7">
        <f>IFERROR(VLOOKUP(A6, [2]Sheet1!$A$3:$C$17, 3, 0), "")</f>
        <v>8.7985294117647062</v>
      </c>
      <c r="H6" s="7">
        <f>IFERROR(VLOOKUP(A6, [3]Sheet1!$A$3:$C$17, 2, 0), "")</f>
        <v>11.8</v>
      </c>
      <c r="I6" s="7">
        <f>IFERROR(VLOOKUP(A6, [3]Sheet1!$A$3:$C$17, 3, 0), "")</f>
        <v>9.9499999999999993</v>
      </c>
      <c r="J6" s="7">
        <f t="shared" si="0"/>
        <v>10.666666666666666</v>
      </c>
      <c r="K6" s="7">
        <f t="shared" si="1"/>
        <v>9.5012047191758064</v>
      </c>
    </row>
    <row r="7" spans="1:11" x14ac:dyDescent="0.2">
      <c r="A7" s="5" t="s">
        <v>43</v>
      </c>
      <c r="B7" s="6">
        <v>9.252597402597404</v>
      </c>
      <c r="C7" s="6">
        <v>9.1399151024591632</v>
      </c>
      <c r="D7" s="7">
        <f>IFERROR(VLOOKUP(A7, [1]Sheet1!$A$3:$C$16, 2, 0), "")</f>
        <v>9.6428571428571423</v>
      </c>
      <c r="E7" s="7">
        <f>IFERROR(VLOOKUP(A7, [1]Sheet1!$A$3:$C$16, 3, 0), "")</f>
        <v>9.4177252178926256</v>
      </c>
      <c r="F7" s="7">
        <f>IFERROR(VLOOKUP(A7, [2]Sheet1!$A$3:$C$17, 2, 0), "")</f>
        <v>10.173214285714286</v>
      </c>
      <c r="G7" s="7">
        <f>IFERROR(VLOOKUP(A7, [2]Sheet1!$A$3:$C$17, 3, 0), "")</f>
        <v>10.718398761825814</v>
      </c>
      <c r="H7" s="7">
        <f>IFERROR(VLOOKUP(A7, [3]Sheet1!$A$3:$C$17, 2, 0), "")</f>
        <v>9.9714285714285715</v>
      </c>
      <c r="I7" s="7">
        <f>IFERROR(VLOOKUP(A7, [3]Sheet1!$A$3:$C$17, 3, 0), "")</f>
        <v>9.1774027770914675</v>
      </c>
      <c r="J7" s="7">
        <f t="shared" si="0"/>
        <v>9.9291666666666654</v>
      </c>
      <c r="K7" s="7">
        <f t="shared" si="1"/>
        <v>9.7711755856033022</v>
      </c>
    </row>
    <row r="8" spans="1:11" x14ac:dyDescent="0.2">
      <c r="A8" s="5" t="s">
        <v>39</v>
      </c>
      <c r="B8" s="6">
        <v>10.985714285714286</v>
      </c>
      <c r="C8" s="6">
        <v>10.659683369915472</v>
      </c>
      <c r="D8" s="7">
        <f>IFERROR(VLOOKUP(A8, [1]Sheet1!$A$3:$C$16, 2, 0), "")</f>
        <v>9.8928571428571406</v>
      </c>
      <c r="E8" s="7">
        <f>IFERROR(VLOOKUP(A8, [1]Sheet1!$A$3:$C$16, 3, 0), "")</f>
        <v>10.44897617528741</v>
      </c>
      <c r="F8" s="7">
        <f>IFERROR(VLOOKUP(A8, [2]Sheet1!$A$3:$C$17, 2, 0), "")</f>
        <v>9.4172869147659064</v>
      </c>
      <c r="G8" s="7">
        <f>IFERROR(VLOOKUP(A8, [2]Sheet1!$A$3:$C$17, 3, 0), "")</f>
        <v>9.7314049496036343</v>
      </c>
      <c r="H8" s="7">
        <f>IFERROR(VLOOKUP(A8, [3]Sheet1!$A$3:$C$17, 2, 0), "")</f>
        <v>8.93600583090379</v>
      </c>
      <c r="I8" s="7">
        <f>IFERROR(VLOOKUP(A8, [3]Sheet1!$A$3:$C$17, 3, 0), "")</f>
        <v>8.9572715075941716</v>
      </c>
      <c r="J8" s="7">
        <f t="shared" si="0"/>
        <v>9.4153832961756123</v>
      </c>
      <c r="K8" s="7">
        <f t="shared" si="1"/>
        <v>9.7125508774950706</v>
      </c>
    </row>
    <row r="9" spans="1:11" x14ac:dyDescent="0.2">
      <c r="A9" s="5" t="s">
        <v>42</v>
      </c>
      <c r="B9" s="6">
        <v>8.9280859916782251</v>
      </c>
      <c r="C9" s="6">
        <v>9.1184699844850226</v>
      </c>
      <c r="D9" s="7">
        <f>IFERROR(VLOOKUP(A9, [1]Sheet1!$A$3:$C$16, 2, 0), "")</f>
        <v>7.4307881773399007</v>
      </c>
      <c r="E9" s="7">
        <f>IFERROR(VLOOKUP(A9, [1]Sheet1!$A$3:$C$16, 3, 0), "")</f>
        <v>7.2982147346117934</v>
      </c>
      <c r="F9" s="7">
        <f>IFERROR(VLOOKUP(A9, [2]Sheet1!$A$3:$C$17, 2, 0), "")</f>
        <v>9.1428571428571423</v>
      </c>
      <c r="G9" s="7">
        <f>IFERROR(VLOOKUP(A9, [2]Sheet1!$A$3:$C$17, 3, 0), "")</f>
        <v>8.7260068939386564</v>
      </c>
      <c r="H9" s="7">
        <f>IFERROR(VLOOKUP(A9, [3]Sheet1!$A$3:$C$17, 2, 0), "")</f>
        <v>9.6375000000000011</v>
      </c>
      <c r="I9" s="7">
        <f>IFERROR(VLOOKUP(A9, [3]Sheet1!$A$3:$C$17, 3, 0), "")</f>
        <v>10.081977775424919</v>
      </c>
      <c r="J9" s="7">
        <f t="shared" si="0"/>
        <v>8.7370484400656832</v>
      </c>
      <c r="K9" s="7">
        <f t="shared" si="1"/>
        <v>8.7020664679917896</v>
      </c>
    </row>
    <row r="10" spans="1:11" x14ac:dyDescent="0.2">
      <c r="A10" s="5" t="s">
        <v>47</v>
      </c>
      <c r="B10" s="6">
        <v>10.512030075187969</v>
      </c>
      <c r="C10" s="6">
        <v>9.2434042516528141</v>
      </c>
      <c r="D10" s="7">
        <f>IFERROR(VLOOKUP(A10, [1]Sheet1!$A$3:$C$16, 2, 0), "")</f>
        <v>8.7214285714285715</v>
      </c>
      <c r="E10" s="7">
        <f>IFERROR(VLOOKUP(A10, [1]Sheet1!$A$3:$C$16, 3, 0), "")</f>
        <v>8.3375387382941124</v>
      </c>
      <c r="F10" s="7">
        <f>IFERROR(VLOOKUP(A10, [2]Sheet1!$A$3:$C$17, 2, 0), "")</f>
        <v>10.233333333333333</v>
      </c>
      <c r="G10" s="7">
        <f>IFERROR(VLOOKUP(A10, [2]Sheet1!$A$3:$C$17, 3, 0), "")</f>
        <v>11.413478008702072</v>
      </c>
      <c r="H10" s="7">
        <f>IFERROR(VLOOKUP(A10, [3]Sheet1!$A$3:$C$17, 2, 0), "")</f>
        <v>9.5750000000000011</v>
      </c>
      <c r="I10" s="7">
        <f>IFERROR(VLOOKUP(A10, [3]Sheet1!$A$3:$C$17, 3, 0), "")</f>
        <v>11.177728923483695</v>
      </c>
      <c r="J10" s="7">
        <f t="shared" si="0"/>
        <v>9.5099206349206344</v>
      </c>
      <c r="K10" s="7">
        <f t="shared" si="1"/>
        <v>10.30958189015996</v>
      </c>
    </row>
    <row r="11" spans="1:11" x14ac:dyDescent="0.2">
      <c r="A11" s="5" t="s">
        <v>48</v>
      </c>
      <c r="B11" s="6">
        <v>11.275</v>
      </c>
      <c r="C11" s="6">
        <v>11.280233593277071</v>
      </c>
      <c r="D11" s="7">
        <f>IFERROR(VLOOKUP(A11, [1]Sheet1!$A$3:$C$16, 2, 0), "")</f>
        <v>8.7333644859813084</v>
      </c>
      <c r="E11" s="7">
        <f>IFERROR(VLOOKUP(A11, [1]Sheet1!$A$3:$C$16, 3, 0), "")</f>
        <v>8.1542914515203684</v>
      </c>
      <c r="F11" s="7">
        <f>IFERROR(VLOOKUP(A11, [2]Sheet1!$A$3:$C$17, 2, 0), "")</f>
        <v>9.36</v>
      </c>
      <c r="G11" s="7">
        <f>IFERROR(VLOOKUP(A11, [2]Sheet1!$A$3:$C$17, 3, 0), "")</f>
        <v>9.3828881987577635</v>
      </c>
      <c r="H11" s="7">
        <f>IFERROR(VLOOKUP(A11, [3]Sheet1!$A$3:$C$17, 2, 0), "")</f>
        <v>9.9142857142857146</v>
      </c>
      <c r="I11" s="7">
        <f>IFERROR(VLOOKUP(A11, [3]Sheet1!$A$3:$C$17, 3, 0), "")</f>
        <v>10.107337408721023</v>
      </c>
      <c r="J11" s="7">
        <f t="shared" si="0"/>
        <v>9.3358834000890081</v>
      </c>
      <c r="K11" s="7">
        <f t="shared" si="1"/>
        <v>9.2148390196663854</v>
      </c>
    </row>
    <row r="12" spans="1:11" x14ac:dyDescent="0.2">
      <c r="A12" s="5" t="s">
        <v>44</v>
      </c>
      <c r="B12" s="6">
        <v>9.3785714285714299</v>
      </c>
      <c r="C12" s="6">
        <v>9.6446108469528777</v>
      </c>
      <c r="D12" s="7">
        <f>IFERROR(VLOOKUP(A12, [1]Sheet1!$A$3:$C$16, 2, 0), "")</f>
        <v>8.5</v>
      </c>
      <c r="E12" s="7">
        <f>IFERROR(VLOOKUP(A12, [1]Sheet1!$A$3:$C$16, 3, 0), "")</f>
        <v>8.1260603902113342</v>
      </c>
      <c r="F12" s="7">
        <f>IFERROR(VLOOKUP(A12, [2]Sheet1!$A$3:$C$17, 2, 0), "")</f>
        <v>8.5453453453453463</v>
      </c>
      <c r="G12" s="7">
        <f>IFERROR(VLOOKUP(A12, [2]Sheet1!$A$3:$C$17, 3, 0), "")</f>
        <v>8.6060272618921427</v>
      </c>
      <c r="H12" s="7">
        <f>IFERROR(VLOOKUP(A12, [3]Sheet1!$A$3:$C$17, 2, 0), "")</f>
        <v>8.3226283916865089</v>
      </c>
      <c r="I12" s="7">
        <f>IFERROR(VLOOKUP(A12, [3]Sheet1!$A$3:$C$17, 3, 0), "")</f>
        <v>8.607094728694479</v>
      </c>
      <c r="J12" s="7">
        <f t="shared" si="0"/>
        <v>8.4559912456772839</v>
      </c>
      <c r="K12" s="7">
        <f t="shared" si="1"/>
        <v>8.4463941269326526</v>
      </c>
    </row>
    <row r="13" spans="1:11" x14ac:dyDescent="0.2">
      <c r="A13" s="5" t="s">
        <v>45</v>
      </c>
      <c r="B13" s="6">
        <v>8.6922077922077925</v>
      </c>
      <c r="C13" s="6">
        <v>10.70366523624673</v>
      </c>
      <c r="D13" s="7">
        <f>IFERROR(VLOOKUP(A13, [1]Sheet1!$A$3:$C$16, 2, 0), "")</f>
        <v>8.7993946731234871</v>
      </c>
      <c r="E13" s="7">
        <f>IFERROR(VLOOKUP(A13, [1]Sheet1!$A$3:$C$16, 3, 0), "")</f>
        <v>8.4233095313417987</v>
      </c>
      <c r="F13" s="7">
        <f>IFERROR(VLOOKUP(A13, [2]Sheet1!$A$3:$C$17, 2, 0), "")</f>
        <v>11.76</v>
      </c>
      <c r="G13" s="7">
        <f>IFERROR(VLOOKUP(A13, [2]Sheet1!$A$3:$C$17, 3, 0), "")</f>
        <v>10.646521739130435</v>
      </c>
      <c r="H13" s="7">
        <f>IFERROR(VLOOKUP(A13, [3]Sheet1!$A$3:$C$17, 2, 0), "")</f>
        <v>10.164285714285715</v>
      </c>
      <c r="I13" s="7">
        <f>IFERROR(VLOOKUP(A13, [3]Sheet1!$A$3:$C$17, 3, 0), "")</f>
        <v>10.33110623580731</v>
      </c>
      <c r="J13" s="7">
        <f t="shared" si="0"/>
        <v>10.241226795803067</v>
      </c>
      <c r="K13" s="7">
        <f t="shared" si="1"/>
        <v>9.8003125020931829</v>
      </c>
    </row>
    <row r="14" spans="1:11" x14ac:dyDescent="0.2">
      <c r="A14" s="5" t="s">
        <v>49</v>
      </c>
      <c r="B14" s="6">
        <v>8.9499999999999993</v>
      </c>
      <c r="C14" s="6">
        <v>9.2358695652173921</v>
      </c>
      <c r="D14" s="7">
        <v>9.5500000000000007</v>
      </c>
      <c r="E14" s="7">
        <v>10.67</v>
      </c>
      <c r="F14" s="7">
        <v>9.5500000000000007</v>
      </c>
      <c r="G14" s="7">
        <v>10.67</v>
      </c>
      <c r="H14" s="7">
        <v>9.5500000000000007</v>
      </c>
      <c r="I14" s="7">
        <v>10.67</v>
      </c>
      <c r="J14" s="7">
        <f t="shared" si="0"/>
        <v>9.5500000000000007</v>
      </c>
      <c r="K14" s="7">
        <f t="shared" si="1"/>
        <v>10.67</v>
      </c>
    </row>
    <row r="15" spans="1:11" x14ac:dyDescent="0.2">
      <c r="A15" s="5" t="s">
        <v>40</v>
      </c>
      <c r="B15" s="6">
        <v>10.047996918335903</v>
      </c>
      <c r="C15" s="6">
        <v>10.97486278308196</v>
      </c>
      <c r="D15" s="7">
        <f>IFERROR(VLOOKUP(A15, [1]Sheet1!$A$3:$C$16, 2, 0), "")</f>
        <v>9.8999999999999986</v>
      </c>
      <c r="E15" s="7">
        <f>IFERROR(VLOOKUP(A15, [1]Sheet1!$A$3:$C$16, 3, 0), "")</f>
        <v>8.35</v>
      </c>
      <c r="F15" s="7">
        <f>IFERROR(VLOOKUP(A15, [2]Sheet1!$A$3:$C$17, 2, 0), "")</f>
        <v>7.2</v>
      </c>
      <c r="G15" s="7">
        <f>IFERROR(VLOOKUP(A15, [2]Sheet1!$A$3:$C$17, 3, 0), "")</f>
        <v>7.6991150442477876</v>
      </c>
      <c r="H15" s="7">
        <f>IFERROR(VLOOKUP(A15, [3]Sheet1!$A$3:$C$17, 2, 0), "")</f>
        <v>8.3249999999999993</v>
      </c>
      <c r="I15" s="7">
        <f>IFERROR(VLOOKUP(A15, [3]Sheet1!$A$3:$C$17, 3, 0), "")</f>
        <v>8.7714285714285722</v>
      </c>
      <c r="J15" s="7">
        <f t="shared" si="0"/>
        <v>8.4749999999999996</v>
      </c>
      <c r="K15" s="7">
        <f t="shared" si="1"/>
        <v>8.2735145385587874</v>
      </c>
    </row>
    <row r="16" spans="1:11" x14ac:dyDescent="0.2">
      <c r="A16" s="5" t="s">
        <v>54</v>
      </c>
      <c r="B16" s="6">
        <v>9.77</v>
      </c>
      <c r="C16" s="6">
        <v>10.654061908575754</v>
      </c>
      <c r="D16" s="7">
        <f>IFERROR(VLOOKUP(A16, [1]Sheet1!$A$3:$C$16, 2, 0), "")</f>
        <v>9.7785714285714285</v>
      </c>
      <c r="E16" s="7">
        <f>IFERROR(VLOOKUP(A16, [1]Sheet1!$A$3:$C$16, 3, 0), "")</f>
        <v>9.7158638610723784</v>
      </c>
      <c r="F16" s="7">
        <f>IFERROR(VLOOKUP(A16, [2]Sheet1!$A$3:$C$17, 2, 0), "")</f>
        <v>9.8697802197802211</v>
      </c>
      <c r="G16" s="7">
        <f>IFERROR(VLOOKUP(A16, [2]Sheet1!$A$3:$C$17, 3, 0), "")</f>
        <v>9.8731945092524995</v>
      </c>
      <c r="H16" s="7">
        <f>IFERROR(VLOOKUP(A16, [3]Sheet1!$A$3:$C$17, 2, 0), "")</f>
        <v>8.8571428571428559</v>
      </c>
      <c r="I16" s="7">
        <f>IFERROR(VLOOKUP(A16, [3]Sheet1!$A$3:$C$17, 3, 0), "")</f>
        <v>9.4628280629880948</v>
      </c>
      <c r="J16" s="7">
        <f t="shared" si="0"/>
        <v>9.5018315018315018</v>
      </c>
      <c r="K16" s="7">
        <f t="shared" si="1"/>
        <v>9.6839621444376576</v>
      </c>
    </row>
    <row r="17" spans="1:11" x14ac:dyDescent="0.2">
      <c r="A17" s="5" t="s">
        <v>36</v>
      </c>
      <c r="B17" s="6">
        <v>9.8575092022434827</v>
      </c>
      <c r="C17" s="6">
        <v>9.9095222060037518</v>
      </c>
      <c r="D17" s="7">
        <f>IFERROR(VLOOKUP(A17, [1]Sheet1!$A$3:$C$16, 2, 0), "")</f>
        <v>9.1510554376101432</v>
      </c>
      <c r="E17" s="7">
        <f>IFERROR(VLOOKUP(A17, [1]Sheet1!$A$3:$C$16, 3, 0), "")</f>
        <v>8.8333430719267216</v>
      </c>
      <c r="F17" s="7">
        <f>IFERROR(VLOOKUP(A17, [2]Sheet1!$A$3:$C$17, 2, 0), "")</f>
        <v>9.529149837880162</v>
      </c>
      <c r="G17" s="7">
        <f>IFERROR(VLOOKUP(A17, [2]Sheet1!$A$3:$C$17, 3, 0), "")</f>
        <v>9.6764759334965866</v>
      </c>
      <c r="H17" s="7">
        <f>IFERROR(VLOOKUP(A17, [3]Sheet1!$A$3:$C$17, 2, 0), "")</f>
        <v>9.6040598684464271</v>
      </c>
      <c r="I17" s="7">
        <f>IFERROR(VLOOKUP(A17, [3]Sheet1!$A$3:$C$17, 3, 0), "")</f>
        <v>9.6322795829535028</v>
      </c>
      <c r="J17" s="7">
        <f t="shared" si="0"/>
        <v>9.4280883813122447</v>
      </c>
      <c r="K17" s="7">
        <f t="shared" si="1"/>
        <v>9.380699529458937</v>
      </c>
    </row>
  </sheetData>
  <mergeCells count="3">
    <mergeCell ref="D2:E2"/>
    <mergeCell ref="F2:G2"/>
    <mergeCell ref="H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74"/>
  <sheetViews>
    <sheetView tabSelected="1" topLeftCell="G1" workbookViewId="0">
      <selection activeCell="J12" sqref="J12"/>
    </sheetView>
  </sheetViews>
  <sheetFormatPr defaultColWidth="12.5703125" defaultRowHeight="15.75" customHeight="1" x14ac:dyDescent="0.2"/>
  <cols>
    <col min="3" max="3" width="63.1406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31</v>
      </c>
      <c r="L1" s="1" t="s">
        <v>33</v>
      </c>
      <c r="M1" s="1" t="s">
        <v>10</v>
      </c>
      <c r="N1" s="1" t="s">
        <v>11</v>
      </c>
      <c r="O1" s="1" t="s">
        <v>12</v>
      </c>
      <c r="P1" s="1" t="s">
        <v>32</v>
      </c>
      <c r="Q1" s="1" t="s">
        <v>34</v>
      </c>
      <c r="R1" s="1" t="s">
        <v>13</v>
      </c>
      <c r="S1" s="1" t="s">
        <v>14</v>
      </c>
    </row>
    <row r="2" spans="1:19" x14ac:dyDescent="0.2">
      <c r="A2" s="1" t="s">
        <v>15</v>
      </c>
      <c r="B2" s="2">
        <v>46173</v>
      </c>
      <c r="C2" s="1" t="s">
        <v>46</v>
      </c>
      <c r="D2" s="1" t="s">
        <v>16</v>
      </c>
      <c r="E2" s="1" t="s">
        <v>17</v>
      </c>
      <c r="F2" s="1" t="s">
        <v>16</v>
      </c>
      <c r="G2" s="1" t="s">
        <v>17</v>
      </c>
      <c r="H2" s="1">
        <v>155</v>
      </c>
      <c r="I2" s="1">
        <v>8</v>
      </c>
      <c r="J2" s="1">
        <v>20</v>
      </c>
      <c r="K2" s="1">
        <f>IF(INT(J2)=J2,J2*6,TRUNC(J2)*6+VALUE(MID(J2,IFERROR(FIND(".",J2),0)+1,LEN(J2))))</f>
        <v>120</v>
      </c>
      <c r="L2" s="1">
        <f>IFERROR((H2*6)/K2,"")</f>
        <v>7.75</v>
      </c>
      <c r="M2" s="1">
        <v>161</v>
      </c>
      <c r="N2" s="1">
        <v>5</v>
      </c>
      <c r="O2" s="1">
        <v>18</v>
      </c>
      <c r="P2" s="1">
        <f>IF(INT(O2)=O2,O2*6,TRUNC(O2)*6+VALUE(MID(O2,IFERROR(FIND(".",O2),0)+1,LEN(O2))))</f>
        <v>108</v>
      </c>
      <c r="Q2" s="1">
        <f>IFERROR((M2*6)/P2, "")</f>
        <v>8.9444444444444446</v>
      </c>
      <c r="R2" s="1" t="s">
        <v>18</v>
      </c>
      <c r="S2" s="1" t="s">
        <v>17</v>
      </c>
    </row>
    <row r="3" spans="1:19" x14ac:dyDescent="0.2">
      <c r="A3" s="1" t="s">
        <v>19</v>
      </c>
      <c r="B3" s="2">
        <v>46171</v>
      </c>
      <c r="C3" s="1" t="s">
        <v>41</v>
      </c>
      <c r="D3" s="1" t="s">
        <v>20</v>
      </c>
      <c r="E3" s="1" t="s">
        <v>16</v>
      </c>
      <c r="F3" s="1" t="s">
        <v>20</v>
      </c>
      <c r="G3" s="1" t="s">
        <v>16</v>
      </c>
      <c r="H3" s="1">
        <v>214</v>
      </c>
      <c r="I3" s="1">
        <v>6</v>
      </c>
      <c r="J3" s="1">
        <v>20</v>
      </c>
      <c r="K3" s="1">
        <f t="shared" ref="K3:K65" si="0">IF(INT(J3)=J3,J3*6,TRUNC(J3)*6+VALUE(MID(J3,IFERROR(FIND(".",J3),0)+1,LEN(J3))))</f>
        <v>120</v>
      </c>
      <c r="L3" s="1">
        <f t="shared" ref="L3:L65" si="1">IFERROR((H3*6)/K3,"")</f>
        <v>10.7</v>
      </c>
      <c r="M3" s="1">
        <v>219</v>
      </c>
      <c r="N3" s="1">
        <v>3</v>
      </c>
      <c r="O3" s="1">
        <v>18.399999999999999</v>
      </c>
      <c r="P3" s="1">
        <f t="shared" ref="P3:P65" si="2">IF(INT(O3)=O3,O3*6,TRUNC(O3)*6+VALUE(MID(O3,IFERROR(FIND(".",O3),0)+1,LEN(O3))))</f>
        <v>112</v>
      </c>
      <c r="Q3" s="1">
        <f t="shared" ref="Q3:Q65" si="3">IFERROR((M3*6)/P3, "")</f>
        <v>11.732142857142858</v>
      </c>
      <c r="R3" s="1" t="s">
        <v>18</v>
      </c>
      <c r="S3" s="1" t="s">
        <v>16</v>
      </c>
    </row>
    <row r="4" spans="1:19" x14ac:dyDescent="0.2">
      <c r="A4" s="1" t="s">
        <v>21</v>
      </c>
      <c r="B4" s="2">
        <v>46169</v>
      </c>
      <c r="C4" s="1" t="s">
        <v>41</v>
      </c>
      <c r="D4" s="1" t="s">
        <v>20</v>
      </c>
      <c r="E4" s="1" t="s">
        <v>22</v>
      </c>
      <c r="F4" s="1" t="s">
        <v>20</v>
      </c>
      <c r="G4" s="1" t="s">
        <v>22</v>
      </c>
      <c r="H4" s="1">
        <v>243</v>
      </c>
      <c r="I4" s="1">
        <v>8</v>
      </c>
      <c r="J4" s="1">
        <v>20</v>
      </c>
      <c r="K4" s="1">
        <f t="shared" si="0"/>
        <v>120</v>
      </c>
      <c r="L4" s="1">
        <f t="shared" si="1"/>
        <v>12.15</v>
      </c>
      <c r="M4" s="1">
        <v>196</v>
      </c>
      <c r="N4" s="1">
        <v>10</v>
      </c>
      <c r="O4" s="1">
        <v>19.2</v>
      </c>
      <c r="P4" s="1">
        <f t="shared" si="2"/>
        <v>116</v>
      </c>
      <c r="Q4" s="1">
        <f t="shared" si="3"/>
        <v>10.137931034482758</v>
      </c>
      <c r="R4" s="1" t="s">
        <v>18</v>
      </c>
      <c r="S4" s="1" t="s">
        <v>20</v>
      </c>
    </row>
    <row r="5" spans="1:19" x14ac:dyDescent="0.2">
      <c r="A5" s="1" t="s">
        <v>23</v>
      </c>
      <c r="B5" s="2">
        <v>46168</v>
      </c>
      <c r="C5" s="1" t="s">
        <v>50</v>
      </c>
      <c r="D5" s="1" t="s">
        <v>17</v>
      </c>
      <c r="E5" s="1" t="s">
        <v>16</v>
      </c>
      <c r="F5" s="1" t="s">
        <v>17</v>
      </c>
      <c r="G5" s="1" t="s">
        <v>16</v>
      </c>
      <c r="H5" s="1">
        <v>254</v>
      </c>
      <c r="I5" s="1">
        <v>5</v>
      </c>
      <c r="J5" s="1">
        <v>20</v>
      </c>
      <c r="K5" s="1">
        <f t="shared" si="0"/>
        <v>120</v>
      </c>
      <c r="L5" s="1">
        <f t="shared" si="1"/>
        <v>12.7</v>
      </c>
      <c r="M5" s="1">
        <v>162</v>
      </c>
      <c r="N5" s="1">
        <v>10</v>
      </c>
      <c r="O5" s="1">
        <v>19.3</v>
      </c>
      <c r="P5" s="1">
        <f t="shared" si="2"/>
        <v>117</v>
      </c>
      <c r="Q5" s="1">
        <f t="shared" si="3"/>
        <v>8.3076923076923084</v>
      </c>
      <c r="R5" s="1" t="s">
        <v>18</v>
      </c>
      <c r="S5" s="1" t="s">
        <v>17</v>
      </c>
    </row>
    <row r="6" spans="1:19" x14ac:dyDescent="0.2">
      <c r="A6" s="1">
        <v>70</v>
      </c>
      <c r="B6" s="2">
        <v>46166</v>
      </c>
      <c r="C6" s="1" t="s">
        <v>43</v>
      </c>
      <c r="D6" s="1" t="s">
        <v>24</v>
      </c>
      <c r="E6" s="1" t="s">
        <v>25</v>
      </c>
      <c r="F6" s="1" t="s">
        <v>24</v>
      </c>
      <c r="G6" s="1" t="s">
        <v>25</v>
      </c>
      <c r="H6" s="1">
        <v>203</v>
      </c>
      <c r="I6" s="1">
        <v>5</v>
      </c>
      <c r="J6" s="1">
        <v>20</v>
      </c>
      <c r="K6" s="1">
        <f t="shared" si="0"/>
        <v>120</v>
      </c>
      <c r="L6" s="1">
        <f t="shared" si="1"/>
        <v>10.15</v>
      </c>
      <c r="M6" s="1">
        <v>163</v>
      </c>
      <c r="N6" s="1">
        <v>10</v>
      </c>
      <c r="O6" s="1">
        <v>18.399999999999999</v>
      </c>
      <c r="P6" s="1">
        <f t="shared" si="2"/>
        <v>112</v>
      </c>
      <c r="Q6" s="1">
        <f t="shared" si="3"/>
        <v>8.7321428571428577</v>
      </c>
      <c r="R6" s="1" t="s">
        <v>18</v>
      </c>
      <c r="S6" s="1" t="s">
        <v>24</v>
      </c>
    </row>
    <row r="7" spans="1:19" x14ac:dyDescent="0.2">
      <c r="A7" s="1">
        <v>69</v>
      </c>
      <c r="B7" s="2">
        <v>46166</v>
      </c>
      <c r="C7" s="1" t="s">
        <v>39</v>
      </c>
      <c r="D7" s="1" t="s">
        <v>20</v>
      </c>
      <c r="E7" s="1" t="s">
        <v>26</v>
      </c>
      <c r="F7" s="1" t="s">
        <v>20</v>
      </c>
      <c r="G7" s="1" t="s">
        <v>26</v>
      </c>
      <c r="H7" s="1">
        <v>205</v>
      </c>
      <c r="I7" s="1">
        <v>8</v>
      </c>
      <c r="J7" s="1">
        <v>20</v>
      </c>
      <c r="K7" s="1">
        <f t="shared" si="0"/>
        <v>120</v>
      </c>
      <c r="L7" s="1">
        <f t="shared" si="1"/>
        <v>10.25</v>
      </c>
      <c r="M7" s="1">
        <v>175</v>
      </c>
      <c r="N7" s="1">
        <v>9</v>
      </c>
      <c r="O7" s="1">
        <v>20</v>
      </c>
      <c r="P7" s="1">
        <f t="shared" si="2"/>
        <v>120</v>
      </c>
      <c r="Q7" s="1">
        <f t="shared" si="3"/>
        <v>8.75</v>
      </c>
      <c r="R7" s="1" t="s">
        <v>18</v>
      </c>
      <c r="S7" s="1" t="s">
        <v>20</v>
      </c>
    </row>
    <row r="8" spans="1:19" x14ac:dyDescent="0.2">
      <c r="A8" s="1">
        <v>68</v>
      </c>
      <c r="B8" s="2">
        <v>46165</v>
      </c>
      <c r="C8" s="1" t="s">
        <v>42</v>
      </c>
      <c r="D8" s="1" t="s">
        <v>27</v>
      </c>
      <c r="E8" s="1" t="s">
        <v>28</v>
      </c>
      <c r="F8" s="1" t="s">
        <v>27</v>
      </c>
      <c r="G8" s="1" t="s">
        <v>28</v>
      </c>
      <c r="H8" s="1">
        <v>196</v>
      </c>
      <c r="I8" s="1">
        <v>6</v>
      </c>
      <c r="J8" s="1">
        <v>20</v>
      </c>
      <c r="K8" s="1">
        <f t="shared" si="0"/>
        <v>120</v>
      </c>
      <c r="L8" s="1">
        <f t="shared" si="1"/>
        <v>9.8000000000000007</v>
      </c>
      <c r="M8" s="1">
        <v>200</v>
      </c>
      <c r="N8" s="1">
        <v>3</v>
      </c>
      <c r="O8" s="1">
        <v>18</v>
      </c>
      <c r="P8" s="1">
        <f t="shared" si="2"/>
        <v>108</v>
      </c>
      <c r="Q8" s="1">
        <f t="shared" si="3"/>
        <v>11.111111111111111</v>
      </c>
      <c r="R8" s="1" t="s">
        <v>18</v>
      </c>
      <c r="S8" s="1" t="s">
        <v>28</v>
      </c>
    </row>
    <row r="9" spans="1:19" x14ac:dyDescent="0.2">
      <c r="A9" s="1">
        <v>67</v>
      </c>
      <c r="B9" s="2">
        <v>46164</v>
      </c>
      <c r="C9" s="1" t="s">
        <v>47</v>
      </c>
      <c r="D9" s="1" t="s">
        <v>22</v>
      </c>
      <c r="E9" s="1" t="s">
        <v>17</v>
      </c>
      <c r="F9" s="1" t="s">
        <v>22</v>
      </c>
      <c r="G9" s="1" t="s">
        <v>17</v>
      </c>
      <c r="H9" s="1">
        <v>255</v>
      </c>
      <c r="I9" s="1">
        <v>4</v>
      </c>
      <c r="J9" s="1">
        <v>20</v>
      </c>
      <c r="K9" s="1">
        <f t="shared" si="0"/>
        <v>120</v>
      </c>
      <c r="L9" s="1">
        <f t="shared" si="1"/>
        <v>12.75</v>
      </c>
      <c r="M9" s="1">
        <v>200</v>
      </c>
      <c r="N9" s="1">
        <v>4</v>
      </c>
      <c r="O9" s="1">
        <v>20</v>
      </c>
      <c r="P9" s="1">
        <f t="shared" si="2"/>
        <v>120</v>
      </c>
      <c r="Q9" s="1">
        <f t="shared" si="3"/>
        <v>10</v>
      </c>
      <c r="R9" s="1" t="s">
        <v>18</v>
      </c>
      <c r="S9" s="1" t="s">
        <v>22</v>
      </c>
    </row>
    <row r="10" spans="1:19" x14ac:dyDescent="0.2">
      <c r="A10" s="1">
        <v>66</v>
      </c>
      <c r="B10" s="2">
        <v>46163</v>
      </c>
      <c r="C10" s="1" t="s">
        <v>46</v>
      </c>
      <c r="D10" s="1" t="s">
        <v>16</v>
      </c>
      <c r="E10" s="1" t="s">
        <v>29</v>
      </c>
      <c r="F10" s="1" t="s">
        <v>16</v>
      </c>
      <c r="G10" s="1" t="s">
        <v>29</v>
      </c>
      <c r="H10" s="1">
        <v>229</v>
      </c>
      <c r="I10" s="1">
        <v>4</v>
      </c>
      <c r="J10" s="1">
        <v>20</v>
      </c>
      <c r="K10" s="1">
        <f t="shared" si="0"/>
        <v>120</v>
      </c>
      <c r="L10" s="1">
        <f t="shared" si="1"/>
        <v>11.45</v>
      </c>
      <c r="M10" s="1">
        <v>140</v>
      </c>
      <c r="N10" s="1">
        <v>10</v>
      </c>
      <c r="O10" s="1">
        <v>13.4</v>
      </c>
      <c r="P10" s="1">
        <f t="shared" si="2"/>
        <v>82</v>
      </c>
      <c r="Q10" s="1">
        <f t="shared" si="3"/>
        <v>10.24390243902439</v>
      </c>
      <c r="R10" s="1" t="s">
        <v>18</v>
      </c>
      <c r="S10" s="1" t="s">
        <v>16</v>
      </c>
    </row>
    <row r="11" spans="1:19" x14ac:dyDescent="0.2">
      <c r="A11" s="1">
        <v>65</v>
      </c>
      <c r="B11" s="2">
        <v>46162</v>
      </c>
      <c r="C11" s="1" t="s">
        <v>43</v>
      </c>
      <c r="D11" s="1" t="s">
        <v>26</v>
      </c>
      <c r="E11" s="1" t="s">
        <v>25</v>
      </c>
      <c r="F11" s="1" t="s">
        <v>26</v>
      </c>
      <c r="G11" s="1" t="s">
        <v>25</v>
      </c>
      <c r="H11" s="1">
        <v>147</v>
      </c>
      <c r="I11" s="1">
        <v>8</v>
      </c>
      <c r="J11" s="1">
        <v>20</v>
      </c>
      <c r="K11" s="1">
        <f t="shared" si="0"/>
        <v>120</v>
      </c>
      <c r="L11" s="1">
        <f t="shared" si="1"/>
        <v>7.35</v>
      </c>
      <c r="M11" s="1">
        <v>148</v>
      </c>
      <c r="N11" s="1">
        <v>6</v>
      </c>
      <c r="O11" s="1">
        <v>18.5</v>
      </c>
      <c r="P11" s="1">
        <f t="shared" si="2"/>
        <v>113</v>
      </c>
      <c r="Q11" s="1">
        <f t="shared" si="3"/>
        <v>7.8584070796460175</v>
      </c>
      <c r="R11" s="1" t="s">
        <v>18</v>
      </c>
      <c r="S11" s="1" t="s">
        <v>25</v>
      </c>
    </row>
    <row r="12" spans="1:19" x14ac:dyDescent="0.2">
      <c r="A12" s="1">
        <v>64</v>
      </c>
      <c r="B12" s="2">
        <v>46161</v>
      </c>
      <c r="C12" s="1" t="s">
        <v>48</v>
      </c>
      <c r="D12" s="1" t="s">
        <v>27</v>
      </c>
      <c r="E12" s="1" t="s">
        <v>20</v>
      </c>
      <c r="F12" s="1" t="s">
        <v>27</v>
      </c>
      <c r="G12" s="1" t="s">
        <v>20</v>
      </c>
      <c r="H12" s="1">
        <v>220</v>
      </c>
      <c r="I12" s="1">
        <v>5</v>
      </c>
      <c r="J12" s="1">
        <v>20</v>
      </c>
      <c r="K12" s="1">
        <f t="shared" si="0"/>
        <v>120</v>
      </c>
      <c r="L12" s="1">
        <f t="shared" si="1"/>
        <v>11</v>
      </c>
      <c r="M12" s="1">
        <v>225</v>
      </c>
      <c r="N12" s="1">
        <v>3</v>
      </c>
      <c r="O12" s="1">
        <v>19.100000000000001</v>
      </c>
      <c r="P12" s="1">
        <f t="shared" si="2"/>
        <v>115</v>
      </c>
      <c r="Q12" s="1">
        <f t="shared" si="3"/>
        <v>11.739130434782609</v>
      </c>
      <c r="R12" s="1" t="s">
        <v>18</v>
      </c>
      <c r="S12" s="1" t="s">
        <v>20</v>
      </c>
    </row>
    <row r="13" spans="1:19" x14ac:dyDescent="0.2">
      <c r="A13" s="1">
        <v>63</v>
      </c>
      <c r="B13" s="2">
        <v>46160</v>
      </c>
      <c r="C13" s="1" t="s">
        <v>44</v>
      </c>
      <c r="D13" s="1" t="s">
        <v>29</v>
      </c>
      <c r="E13" s="1" t="s">
        <v>22</v>
      </c>
      <c r="F13" s="1" t="s">
        <v>29</v>
      </c>
      <c r="G13" s="1" t="s">
        <v>22</v>
      </c>
      <c r="H13" s="1">
        <v>180</v>
      </c>
      <c r="I13" s="1">
        <v>7</v>
      </c>
      <c r="J13" s="1">
        <v>20</v>
      </c>
      <c r="K13" s="1">
        <f t="shared" si="0"/>
        <v>120</v>
      </c>
      <c r="L13" s="1">
        <f t="shared" si="1"/>
        <v>9</v>
      </c>
      <c r="M13" s="1">
        <v>181</v>
      </c>
      <c r="N13" s="1">
        <v>5</v>
      </c>
      <c r="O13" s="1">
        <v>19</v>
      </c>
      <c r="P13" s="1">
        <f t="shared" si="2"/>
        <v>114</v>
      </c>
      <c r="Q13" s="1">
        <f t="shared" si="3"/>
        <v>9.526315789473685</v>
      </c>
      <c r="R13" s="1" t="s">
        <v>18</v>
      </c>
      <c r="S13" s="1" t="s">
        <v>22</v>
      </c>
    </row>
    <row r="14" spans="1:19" x14ac:dyDescent="0.2">
      <c r="A14" s="1">
        <v>62</v>
      </c>
      <c r="B14" s="2">
        <v>46159</v>
      </c>
      <c r="C14" s="1" t="s">
        <v>45</v>
      </c>
      <c r="D14" s="1" t="s">
        <v>20</v>
      </c>
      <c r="E14" s="1" t="s">
        <v>24</v>
      </c>
      <c r="F14" s="1" t="s">
        <v>20</v>
      </c>
      <c r="G14" s="1" t="s">
        <v>24</v>
      </c>
      <c r="H14" s="1">
        <v>193</v>
      </c>
      <c r="I14" s="1">
        <v>8</v>
      </c>
      <c r="J14" s="1">
        <v>20</v>
      </c>
      <c r="K14" s="1">
        <f t="shared" si="0"/>
        <v>120</v>
      </c>
      <c r="L14" s="1">
        <f t="shared" si="1"/>
        <v>9.65</v>
      </c>
      <c r="M14" s="1">
        <v>197</v>
      </c>
      <c r="N14" s="1">
        <v>5</v>
      </c>
      <c r="O14" s="1">
        <v>19.2</v>
      </c>
      <c r="P14" s="1">
        <f t="shared" si="2"/>
        <v>116</v>
      </c>
      <c r="Q14" s="1">
        <f t="shared" si="3"/>
        <v>10.189655172413794</v>
      </c>
      <c r="R14" s="1" t="s">
        <v>18</v>
      </c>
      <c r="S14" s="1" t="s">
        <v>24</v>
      </c>
    </row>
    <row r="15" spans="1:19" x14ac:dyDescent="0.2">
      <c r="A15" s="1">
        <v>61</v>
      </c>
      <c r="B15" s="2">
        <v>46159</v>
      </c>
      <c r="C15" s="1" t="s">
        <v>50</v>
      </c>
      <c r="D15" s="1" t="s">
        <v>17</v>
      </c>
      <c r="E15" s="1" t="s">
        <v>28</v>
      </c>
      <c r="F15" s="1" t="s">
        <v>17</v>
      </c>
      <c r="G15" s="1" t="s">
        <v>28</v>
      </c>
      <c r="H15" s="1">
        <v>222</v>
      </c>
      <c r="I15" s="1">
        <v>4</v>
      </c>
      <c r="J15" s="1">
        <v>20</v>
      </c>
      <c r="K15" s="1">
        <f t="shared" si="0"/>
        <v>120</v>
      </c>
      <c r="L15" s="1">
        <f t="shared" si="1"/>
        <v>11.1</v>
      </c>
      <c r="M15" s="1">
        <v>199</v>
      </c>
      <c r="N15" s="1">
        <v>8</v>
      </c>
      <c r="O15" s="1">
        <v>20</v>
      </c>
      <c r="P15" s="1">
        <f t="shared" si="2"/>
        <v>120</v>
      </c>
      <c r="Q15" s="1">
        <f t="shared" si="3"/>
        <v>9.9499999999999993</v>
      </c>
      <c r="R15" s="1" t="s">
        <v>18</v>
      </c>
      <c r="S15" s="1" t="s">
        <v>17</v>
      </c>
    </row>
    <row r="16" spans="1:19" x14ac:dyDescent="0.2">
      <c r="A16" s="1">
        <v>60</v>
      </c>
      <c r="B16" s="2">
        <v>46158</v>
      </c>
      <c r="C16" s="1" t="s">
        <v>43</v>
      </c>
      <c r="D16" s="1" t="s">
        <v>25</v>
      </c>
      <c r="E16" s="1" t="s">
        <v>16</v>
      </c>
      <c r="F16" s="1" t="s">
        <v>25</v>
      </c>
      <c r="G16" s="1" t="s">
        <v>16</v>
      </c>
      <c r="H16" s="1">
        <v>247</v>
      </c>
      <c r="I16" s="1">
        <v>2</v>
      </c>
      <c r="J16" s="1">
        <v>20</v>
      </c>
      <c r="K16" s="1">
        <f t="shared" si="0"/>
        <v>120</v>
      </c>
      <c r="L16" s="1">
        <f t="shared" si="1"/>
        <v>12.35</v>
      </c>
      <c r="M16" s="1">
        <v>218</v>
      </c>
      <c r="N16" s="1">
        <v>4</v>
      </c>
      <c r="O16" s="1">
        <v>20</v>
      </c>
      <c r="P16" s="1">
        <f t="shared" si="2"/>
        <v>120</v>
      </c>
      <c r="Q16" s="1">
        <f t="shared" si="3"/>
        <v>10.9</v>
      </c>
      <c r="R16" s="1" t="s">
        <v>18</v>
      </c>
      <c r="S16" s="1" t="s">
        <v>25</v>
      </c>
    </row>
    <row r="17" spans="1:19" x14ac:dyDescent="0.2">
      <c r="A17" s="1">
        <v>59</v>
      </c>
      <c r="B17" s="2">
        <v>46157</v>
      </c>
      <c r="C17" s="1" t="s">
        <v>42</v>
      </c>
      <c r="D17" s="1" t="s">
        <v>29</v>
      </c>
      <c r="E17" s="1" t="s">
        <v>27</v>
      </c>
      <c r="F17" s="1" t="s">
        <v>29</v>
      </c>
      <c r="G17" s="1" t="s">
        <v>27</v>
      </c>
      <c r="H17" s="1">
        <v>187</v>
      </c>
      <c r="I17" s="1">
        <v>5</v>
      </c>
      <c r="J17" s="1">
        <v>20</v>
      </c>
      <c r="K17" s="1">
        <f t="shared" si="0"/>
        <v>120</v>
      </c>
      <c r="L17" s="1">
        <f t="shared" si="1"/>
        <v>9.35</v>
      </c>
      <c r="M17" s="1">
        <v>188</v>
      </c>
      <c r="N17" s="1">
        <v>3</v>
      </c>
      <c r="O17" s="1">
        <v>16.399999999999999</v>
      </c>
      <c r="P17" s="1">
        <f t="shared" si="2"/>
        <v>100</v>
      </c>
      <c r="Q17" s="1">
        <f t="shared" si="3"/>
        <v>11.28</v>
      </c>
      <c r="R17" s="1" t="s">
        <v>18</v>
      </c>
      <c r="S17" s="1" t="s">
        <v>27</v>
      </c>
    </row>
    <row r="18" spans="1:19" x14ac:dyDescent="0.2">
      <c r="A18" s="1">
        <v>58</v>
      </c>
      <c r="B18" s="2">
        <v>46156</v>
      </c>
      <c r="C18" s="1" t="s">
        <v>50</v>
      </c>
      <c r="D18" s="1" t="s">
        <v>28</v>
      </c>
      <c r="E18" s="1" t="s">
        <v>26</v>
      </c>
      <c r="F18" s="1" t="s">
        <v>28</v>
      </c>
      <c r="G18" s="1" t="s">
        <v>26</v>
      </c>
      <c r="H18" s="1">
        <v>200</v>
      </c>
      <c r="I18" s="1">
        <v>8</v>
      </c>
      <c r="J18" s="1">
        <v>20</v>
      </c>
      <c r="K18" s="1">
        <f t="shared" si="0"/>
        <v>120</v>
      </c>
      <c r="L18" s="1">
        <f t="shared" si="1"/>
        <v>10</v>
      </c>
      <c r="M18" s="1">
        <v>205</v>
      </c>
      <c r="N18" s="1">
        <v>4</v>
      </c>
      <c r="O18" s="1">
        <v>19.5</v>
      </c>
      <c r="P18" s="1">
        <f t="shared" si="2"/>
        <v>119</v>
      </c>
      <c r="Q18" s="1">
        <f t="shared" si="3"/>
        <v>10.336134453781513</v>
      </c>
      <c r="R18" s="1" t="s">
        <v>18</v>
      </c>
      <c r="S18" s="1" t="s">
        <v>26</v>
      </c>
    </row>
    <row r="19" spans="1:19" x14ac:dyDescent="0.2">
      <c r="A19" s="1">
        <v>57</v>
      </c>
      <c r="B19" s="2">
        <v>46155</v>
      </c>
      <c r="C19" s="1" t="s">
        <v>49</v>
      </c>
      <c r="D19" s="1" t="s">
        <v>25</v>
      </c>
      <c r="E19" s="1" t="s">
        <v>17</v>
      </c>
      <c r="F19" s="1" t="s">
        <v>25</v>
      </c>
      <c r="G19" s="1" t="s">
        <v>17</v>
      </c>
      <c r="H19" s="1">
        <v>192</v>
      </c>
      <c r="I19" s="1">
        <v>4</v>
      </c>
      <c r="J19" s="1">
        <v>20</v>
      </c>
      <c r="K19" s="1">
        <f t="shared" si="0"/>
        <v>120</v>
      </c>
      <c r="L19" s="1">
        <f t="shared" si="1"/>
        <v>9.6</v>
      </c>
      <c r="M19" s="1">
        <v>194</v>
      </c>
      <c r="N19" s="1">
        <v>4</v>
      </c>
      <c r="O19" s="1">
        <v>19.100000000000001</v>
      </c>
      <c r="P19" s="1">
        <f t="shared" si="2"/>
        <v>115</v>
      </c>
      <c r="Q19" s="1">
        <f t="shared" si="3"/>
        <v>10.121739130434783</v>
      </c>
      <c r="R19" s="1" t="s">
        <v>18</v>
      </c>
      <c r="S19" s="1" t="s">
        <v>17</v>
      </c>
    </row>
    <row r="20" spans="1:19" x14ac:dyDescent="0.2">
      <c r="A20" s="1">
        <v>56</v>
      </c>
      <c r="B20" s="2">
        <v>46154</v>
      </c>
      <c r="C20" s="1" t="s">
        <v>46</v>
      </c>
      <c r="D20" s="1" t="s">
        <v>16</v>
      </c>
      <c r="E20" s="1" t="s">
        <v>22</v>
      </c>
      <c r="F20" s="1" t="s">
        <v>16</v>
      </c>
      <c r="G20" s="1" t="s">
        <v>22</v>
      </c>
      <c r="H20" s="1">
        <v>168</v>
      </c>
      <c r="I20" s="1">
        <v>5</v>
      </c>
      <c r="J20" s="1">
        <v>20</v>
      </c>
      <c r="K20" s="1">
        <f t="shared" si="0"/>
        <v>120</v>
      </c>
      <c r="L20" s="1">
        <f t="shared" si="1"/>
        <v>8.4</v>
      </c>
      <c r="M20" s="1">
        <v>86</v>
      </c>
      <c r="N20" s="1">
        <v>10</v>
      </c>
      <c r="O20" s="1">
        <v>14.5</v>
      </c>
      <c r="P20" s="1">
        <f t="shared" si="2"/>
        <v>89</v>
      </c>
      <c r="Q20" s="1">
        <f t="shared" si="3"/>
        <v>5.797752808988764</v>
      </c>
      <c r="R20" s="1" t="s">
        <v>18</v>
      </c>
      <c r="S20" s="1" t="s">
        <v>16</v>
      </c>
    </row>
    <row r="21" spans="1:19" x14ac:dyDescent="0.2">
      <c r="A21" s="1">
        <v>55</v>
      </c>
      <c r="B21" s="2">
        <v>46153</v>
      </c>
      <c r="C21" s="1" t="s">
        <v>50</v>
      </c>
      <c r="D21" s="1" t="s">
        <v>28</v>
      </c>
      <c r="E21" s="1" t="s">
        <v>24</v>
      </c>
      <c r="F21" s="1" t="s">
        <v>28</v>
      </c>
      <c r="G21" s="1" t="s">
        <v>24</v>
      </c>
      <c r="H21" s="1">
        <v>210</v>
      </c>
      <c r="I21" s="1">
        <v>5</v>
      </c>
      <c r="J21" s="1">
        <v>20</v>
      </c>
      <c r="K21" s="1">
        <f t="shared" si="0"/>
        <v>120</v>
      </c>
      <c r="L21" s="1">
        <f t="shared" si="1"/>
        <v>10.5</v>
      </c>
      <c r="M21" s="1">
        <v>216</v>
      </c>
      <c r="N21" s="1">
        <v>7</v>
      </c>
      <c r="O21" s="1">
        <v>19</v>
      </c>
      <c r="P21" s="1">
        <f t="shared" si="2"/>
        <v>114</v>
      </c>
      <c r="Q21" s="1">
        <f t="shared" si="3"/>
        <v>11.368421052631579</v>
      </c>
      <c r="R21" s="1" t="s">
        <v>18</v>
      </c>
      <c r="S21" s="1" t="s">
        <v>24</v>
      </c>
    </row>
    <row r="22" spans="1:19" x14ac:dyDescent="0.2">
      <c r="A22" s="1">
        <v>54</v>
      </c>
      <c r="B22" s="2">
        <v>46152</v>
      </c>
      <c r="C22" s="1" t="s">
        <v>49</v>
      </c>
      <c r="D22" s="1" t="s">
        <v>26</v>
      </c>
      <c r="E22" s="1" t="s">
        <v>17</v>
      </c>
      <c r="F22" s="1" t="s">
        <v>26</v>
      </c>
      <c r="G22" s="1" t="s">
        <v>17</v>
      </c>
      <c r="H22" s="1">
        <v>166</v>
      </c>
      <c r="I22" s="1">
        <v>7</v>
      </c>
      <c r="J22" s="1">
        <v>20</v>
      </c>
      <c r="K22" s="1">
        <f t="shared" si="0"/>
        <v>120</v>
      </c>
      <c r="L22" s="1">
        <f t="shared" si="1"/>
        <v>8.3000000000000007</v>
      </c>
      <c r="M22" s="1">
        <v>167</v>
      </c>
      <c r="N22" s="1">
        <v>8</v>
      </c>
      <c r="O22" s="1">
        <v>20</v>
      </c>
      <c r="P22" s="1">
        <f t="shared" si="2"/>
        <v>120</v>
      </c>
      <c r="Q22" s="1">
        <f t="shared" si="3"/>
        <v>8.35</v>
      </c>
      <c r="R22" s="1" t="s">
        <v>18</v>
      </c>
      <c r="S22" s="1" t="s">
        <v>17</v>
      </c>
    </row>
    <row r="23" spans="1:19" x14ac:dyDescent="0.2">
      <c r="A23" s="1">
        <v>53</v>
      </c>
      <c r="B23" s="2">
        <v>46152</v>
      </c>
      <c r="C23" s="1" t="s">
        <v>44</v>
      </c>
      <c r="D23" s="1" t="s">
        <v>27</v>
      </c>
      <c r="E23" s="1" t="s">
        <v>29</v>
      </c>
      <c r="F23" s="1" t="s">
        <v>27</v>
      </c>
      <c r="G23" s="1" t="s">
        <v>29</v>
      </c>
      <c r="H23" s="1">
        <v>203</v>
      </c>
      <c r="I23" s="1">
        <v>8</v>
      </c>
      <c r="J23" s="1">
        <v>20</v>
      </c>
      <c r="K23" s="1">
        <f t="shared" si="0"/>
        <v>120</v>
      </c>
      <c r="L23" s="1">
        <f t="shared" si="1"/>
        <v>10.15</v>
      </c>
      <c r="M23" s="1">
        <v>208</v>
      </c>
      <c r="N23" s="1">
        <v>5</v>
      </c>
      <c r="O23" s="1">
        <v>19.2</v>
      </c>
      <c r="P23" s="1">
        <f t="shared" si="2"/>
        <v>116</v>
      </c>
      <c r="Q23" s="1">
        <f t="shared" si="3"/>
        <v>10.758620689655173</v>
      </c>
      <c r="R23" s="1" t="s">
        <v>18</v>
      </c>
      <c r="S23" s="1" t="s">
        <v>29</v>
      </c>
    </row>
    <row r="24" spans="1:19" x14ac:dyDescent="0.2">
      <c r="A24" s="1">
        <v>52</v>
      </c>
      <c r="B24" s="2">
        <v>46151</v>
      </c>
      <c r="C24" s="1" t="s">
        <v>48</v>
      </c>
      <c r="D24" s="1" t="s">
        <v>16</v>
      </c>
      <c r="E24" s="1" t="s">
        <v>20</v>
      </c>
      <c r="F24" s="1" t="s">
        <v>16</v>
      </c>
      <c r="G24" s="1" t="s">
        <v>20</v>
      </c>
      <c r="H24" s="1">
        <v>229</v>
      </c>
      <c r="I24" s="1">
        <v>4</v>
      </c>
      <c r="J24" s="1">
        <v>20</v>
      </c>
      <c r="K24" s="1">
        <f t="shared" si="0"/>
        <v>120</v>
      </c>
      <c r="L24" s="1">
        <f t="shared" si="1"/>
        <v>11.45</v>
      </c>
      <c r="M24" s="1">
        <v>152</v>
      </c>
      <c r="N24" s="1">
        <v>10</v>
      </c>
      <c r="O24" s="1">
        <v>16.3</v>
      </c>
      <c r="P24" s="1">
        <f t="shared" si="2"/>
        <v>99</v>
      </c>
      <c r="Q24" s="1">
        <f t="shared" si="3"/>
        <v>9.2121212121212128</v>
      </c>
      <c r="R24" s="1" t="s">
        <v>18</v>
      </c>
      <c r="S24" s="1" t="s">
        <v>16</v>
      </c>
    </row>
    <row r="25" spans="1:19" x14ac:dyDescent="0.2">
      <c r="A25" s="1">
        <v>51</v>
      </c>
      <c r="B25" s="2">
        <v>46150</v>
      </c>
      <c r="C25" s="1" t="s">
        <v>45</v>
      </c>
      <c r="D25" s="1" t="s">
        <v>24</v>
      </c>
      <c r="E25" s="1" t="s">
        <v>25</v>
      </c>
      <c r="F25" s="1" t="s">
        <v>24</v>
      </c>
      <c r="G25" s="1" t="s">
        <v>25</v>
      </c>
      <c r="H25" s="1">
        <v>142</v>
      </c>
      <c r="I25" s="1">
        <v>8</v>
      </c>
      <c r="J25" s="1">
        <v>20</v>
      </c>
      <c r="K25" s="1">
        <f t="shared" si="0"/>
        <v>120</v>
      </c>
      <c r="L25" s="1">
        <f t="shared" si="1"/>
        <v>7.1</v>
      </c>
      <c r="M25" s="1">
        <v>147</v>
      </c>
      <c r="N25" s="1">
        <v>2</v>
      </c>
      <c r="O25" s="1">
        <v>14.2</v>
      </c>
      <c r="P25" s="1">
        <f t="shared" si="2"/>
        <v>86</v>
      </c>
      <c r="Q25" s="1">
        <f t="shared" si="3"/>
        <v>10.255813953488373</v>
      </c>
      <c r="R25" s="1" t="s">
        <v>18</v>
      </c>
      <c r="S25" s="1" t="s">
        <v>25</v>
      </c>
    </row>
    <row r="26" spans="1:19" x14ac:dyDescent="0.2">
      <c r="A26" s="1">
        <v>50</v>
      </c>
      <c r="B26" s="2">
        <v>46149</v>
      </c>
      <c r="C26" s="1" t="s">
        <v>42</v>
      </c>
      <c r="D26" s="1" t="s">
        <v>27</v>
      </c>
      <c r="E26" s="1" t="s">
        <v>17</v>
      </c>
      <c r="F26" s="1" t="s">
        <v>27</v>
      </c>
      <c r="G26" s="1" t="s">
        <v>17</v>
      </c>
      <c r="H26" s="1">
        <v>209</v>
      </c>
      <c r="I26" s="1">
        <v>3</v>
      </c>
      <c r="J26" s="1">
        <v>19</v>
      </c>
      <c r="K26" s="1">
        <f t="shared" si="0"/>
        <v>114</v>
      </c>
      <c r="L26" s="1">
        <f t="shared" si="1"/>
        <v>11</v>
      </c>
      <c r="M26" s="1">
        <v>203</v>
      </c>
      <c r="N26" s="1">
        <v>6</v>
      </c>
      <c r="O26" s="1">
        <v>19</v>
      </c>
      <c r="P26" s="1">
        <f t="shared" si="2"/>
        <v>114</v>
      </c>
      <c r="Q26" s="1">
        <f t="shared" si="3"/>
        <v>10.684210526315789</v>
      </c>
      <c r="R26" s="1" t="s">
        <v>18</v>
      </c>
      <c r="S26" s="1" t="s">
        <v>27</v>
      </c>
    </row>
    <row r="27" spans="1:19" x14ac:dyDescent="0.2">
      <c r="A27" s="1">
        <v>49</v>
      </c>
      <c r="B27" s="2">
        <v>46148</v>
      </c>
      <c r="C27" s="1" t="s">
        <v>47</v>
      </c>
      <c r="D27" s="1" t="s">
        <v>22</v>
      </c>
      <c r="E27" s="1" t="s">
        <v>28</v>
      </c>
      <c r="F27" s="1" t="s">
        <v>22</v>
      </c>
      <c r="G27" s="1" t="s">
        <v>28</v>
      </c>
      <c r="H27" s="1">
        <v>235</v>
      </c>
      <c r="I27" s="1">
        <v>4</v>
      </c>
      <c r="J27" s="1">
        <v>20</v>
      </c>
      <c r="K27" s="1">
        <f t="shared" si="0"/>
        <v>120</v>
      </c>
      <c r="L27" s="1">
        <f t="shared" si="1"/>
        <v>11.75</v>
      </c>
      <c r="M27" s="1">
        <v>202</v>
      </c>
      <c r="N27" s="1">
        <v>7</v>
      </c>
      <c r="O27" s="1">
        <v>20</v>
      </c>
      <c r="P27" s="1">
        <f t="shared" si="2"/>
        <v>120</v>
      </c>
      <c r="Q27" s="1">
        <f t="shared" si="3"/>
        <v>10.1</v>
      </c>
      <c r="R27" s="1" t="s">
        <v>18</v>
      </c>
      <c r="S27" s="1" t="s">
        <v>22</v>
      </c>
    </row>
    <row r="28" spans="1:19" x14ac:dyDescent="0.2">
      <c r="A28" s="1">
        <v>48</v>
      </c>
      <c r="B28" s="2">
        <v>46147</v>
      </c>
      <c r="C28" s="1" t="s">
        <v>45</v>
      </c>
      <c r="D28" s="1" t="s">
        <v>24</v>
      </c>
      <c r="E28" s="1" t="s">
        <v>29</v>
      </c>
      <c r="F28" s="1" t="s">
        <v>24</v>
      </c>
      <c r="G28" s="1" t="s">
        <v>29</v>
      </c>
      <c r="H28" s="1">
        <v>155</v>
      </c>
      <c r="I28" s="1">
        <v>7</v>
      </c>
      <c r="J28" s="1">
        <v>20</v>
      </c>
      <c r="K28" s="1">
        <f t="shared" si="0"/>
        <v>120</v>
      </c>
      <c r="L28" s="1">
        <f t="shared" si="1"/>
        <v>7.75</v>
      </c>
      <c r="M28" s="1">
        <v>159</v>
      </c>
      <c r="N28" s="1">
        <v>2</v>
      </c>
      <c r="O28" s="1">
        <v>17.3</v>
      </c>
      <c r="P28" s="1">
        <f t="shared" si="2"/>
        <v>105</v>
      </c>
      <c r="Q28" s="1">
        <f t="shared" si="3"/>
        <v>9.0857142857142854</v>
      </c>
      <c r="R28" s="1" t="s">
        <v>18</v>
      </c>
      <c r="S28" s="1" t="s">
        <v>29</v>
      </c>
    </row>
    <row r="29" spans="1:19" x14ac:dyDescent="0.2">
      <c r="A29" s="1">
        <v>47</v>
      </c>
      <c r="B29" s="2">
        <v>46146</v>
      </c>
      <c r="C29" s="1" t="s">
        <v>39</v>
      </c>
      <c r="D29" s="1" t="s">
        <v>27</v>
      </c>
      <c r="E29" s="1" t="s">
        <v>26</v>
      </c>
      <c r="F29" s="1" t="s">
        <v>27</v>
      </c>
      <c r="G29" s="1" t="s">
        <v>26</v>
      </c>
      <c r="H29" s="1">
        <v>228</v>
      </c>
      <c r="I29" s="1">
        <v>5</v>
      </c>
      <c r="J29" s="1">
        <v>20</v>
      </c>
      <c r="K29" s="1">
        <f t="shared" si="0"/>
        <v>120</v>
      </c>
      <c r="L29" s="1">
        <f t="shared" si="1"/>
        <v>11.4</v>
      </c>
      <c r="M29" s="1">
        <v>229</v>
      </c>
      <c r="N29" s="1">
        <v>4</v>
      </c>
      <c r="O29" s="1">
        <v>18.399999999999999</v>
      </c>
      <c r="P29" s="1">
        <f t="shared" si="2"/>
        <v>112</v>
      </c>
      <c r="Q29" s="1">
        <f t="shared" si="3"/>
        <v>12.267857142857142</v>
      </c>
      <c r="R29" s="1" t="s">
        <v>18</v>
      </c>
      <c r="S29" s="1" t="s">
        <v>26</v>
      </c>
    </row>
    <row r="30" spans="1:19" x14ac:dyDescent="0.2">
      <c r="A30" s="1">
        <v>46</v>
      </c>
      <c r="B30" s="2">
        <v>46145</v>
      </c>
      <c r="C30" s="1" t="s">
        <v>46</v>
      </c>
      <c r="D30" s="1" t="s">
        <v>28</v>
      </c>
      <c r="E30" s="1" t="s">
        <v>16</v>
      </c>
      <c r="F30" s="1" t="s">
        <v>28</v>
      </c>
      <c r="G30" s="1" t="s">
        <v>16</v>
      </c>
      <c r="H30" s="1">
        <v>163</v>
      </c>
      <c r="I30" s="1">
        <v>9</v>
      </c>
      <c r="J30" s="1">
        <v>20</v>
      </c>
      <c r="K30" s="1">
        <f t="shared" si="0"/>
        <v>120</v>
      </c>
      <c r="L30" s="1">
        <f t="shared" si="1"/>
        <v>8.15</v>
      </c>
      <c r="M30" s="1">
        <v>167</v>
      </c>
      <c r="N30" s="1">
        <v>6</v>
      </c>
      <c r="O30" s="1">
        <v>19.5</v>
      </c>
      <c r="P30" s="1">
        <f t="shared" si="2"/>
        <v>119</v>
      </c>
      <c r="Q30" s="1">
        <f t="shared" si="3"/>
        <v>8.420168067226891</v>
      </c>
      <c r="R30" s="1" t="s">
        <v>18</v>
      </c>
      <c r="S30" s="1" t="s">
        <v>16</v>
      </c>
    </row>
    <row r="31" spans="1:19" x14ac:dyDescent="0.2">
      <c r="A31" s="1">
        <v>45</v>
      </c>
      <c r="B31" s="2">
        <v>46145</v>
      </c>
      <c r="C31" s="1" t="s">
        <v>47</v>
      </c>
      <c r="D31" s="1" t="s">
        <v>22</v>
      </c>
      <c r="E31" s="1" t="s">
        <v>25</v>
      </c>
      <c r="F31" s="1" t="s">
        <v>22</v>
      </c>
      <c r="G31" s="1" t="s">
        <v>25</v>
      </c>
      <c r="H31" s="1">
        <v>165</v>
      </c>
      <c r="I31" s="1">
        <v>10</v>
      </c>
      <c r="J31" s="1">
        <v>19</v>
      </c>
      <c r="K31" s="1">
        <f t="shared" si="0"/>
        <v>114</v>
      </c>
      <c r="L31" s="1">
        <f t="shared" si="1"/>
        <v>8.6842105263157894</v>
      </c>
      <c r="M31" s="1">
        <v>169</v>
      </c>
      <c r="N31" s="1">
        <v>3</v>
      </c>
      <c r="O31" s="1">
        <v>18.2</v>
      </c>
      <c r="P31" s="1">
        <f t="shared" si="2"/>
        <v>110</v>
      </c>
      <c r="Q31" s="1">
        <f t="shared" si="3"/>
        <v>9.2181818181818187</v>
      </c>
      <c r="R31" s="1" t="s">
        <v>18</v>
      </c>
      <c r="S31" s="1" t="s">
        <v>25</v>
      </c>
    </row>
    <row r="32" spans="1:19" x14ac:dyDescent="0.2">
      <c r="A32" s="1">
        <v>44</v>
      </c>
      <c r="B32" s="2">
        <v>46144</v>
      </c>
      <c r="C32" s="1" t="s">
        <v>44</v>
      </c>
      <c r="D32" s="1" t="s">
        <v>26</v>
      </c>
      <c r="E32" s="1" t="s">
        <v>29</v>
      </c>
      <c r="F32" s="1" t="s">
        <v>26</v>
      </c>
      <c r="G32" s="1" t="s">
        <v>29</v>
      </c>
      <c r="H32" s="1">
        <v>159</v>
      </c>
      <c r="I32" s="1">
        <v>7</v>
      </c>
      <c r="J32" s="1">
        <v>20</v>
      </c>
      <c r="K32" s="1">
        <f t="shared" si="0"/>
        <v>120</v>
      </c>
      <c r="L32" s="1">
        <f t="shared" si="1"/>
        <v>7.95</v>
      </c>
      <c r="M32" s="1">
        <v>160</v>
      </c>
      <c r="N32" s="1">
        <v>2</v>
      </c>
      <c r="O32" s="1">
        <v>18.100000000000001</v>
      </c>
      <c r="P32" s="1">
        <f t="shared" si="2"/>
        <v>109</v>
      </c>
      <c r="Q32" s="1">
        <f t="shared" si="3"/>
        <v>8.8073394495412849</v>
      </c>
      <c r="R32" s="1" t="s">
        <v>18</v>
      </c>
      <c r="S32" s="1" t="s">
        <v>29</v>
      </c>
    </row>
    <row r="33" spans="1:19" x14ac:dyDescent="0.2">
      <c r="A33" s="1">
        <v>43</v>
      </c>
      <c r="B33" s="2">
        <v>46143</v>
      </c>
      <c r="C33" s="1" t="s">
        <v>48</v>
      </c>
      <c r="D33" s="1" t="s">
        <v>20</v>
      </c>
      <c r="E33" s="1" t="s">
        <v>24</v>
      </c>
      <c r="F33" s="1" t="s">
        <v>20</v>
      </c>
      <c r="G33" s="1" t="s">
        <v>24</v>
      </c>
      <c r="H33" s="1">
        <v>225</v>
      </c>
      <c r="I33" s="1">
        <v>6</v>
      </c>
      <c r="J33" s="1">
        <v>20</v>
      </c>
      <c r="K33" s="1">
        <f t="shared" si="0"/>
        <v>120</v>
      </c>
      <c r="L33" s="1">
        <f t="shared" si="1"/>
        <v>11.25</v>
      </c>
      <c r="M33" s="1">
        <v>226</v>
      </c>
      <c r="N33" s="1">
        <v>3</v>
      </c>
      <c r="O33" s="1">
        <v>19.100000000000001</v>
      </c>
      <c r="P33" s="1">
        <f t="shared" si="2"/>
        <v>115</v>
      </c>
      <c r="Q33" s="1">
        <f t="shared" si="3"/>
        <v>11.791304347826086</v>
      </c>
      <c r="R33" s="1" t="s">
        <v>18</v>
      </c>
      <c r="S33" s="1" t="s">
        <v>24</v>
      </c>
    </row>
    <row r="34" spans="1:19" x14ac:dyDescent="0.2">
      <c r="A34" s="1">
        <v>42</v>
      </c>
      <c r="B34" s="3">
        <v>46142</v>
      </c>
      <c r="C34" s="1" t="s">
        <v>46</v>
      </c>
      <c r="D34" s="1" t="s">
        <v>17</v>
      </c>
      <c r="E34" s="1" t="s">
        <v>16</v>
      </c>
      <c r="F34" s="1" t="s">
        <v>17</v>
      </c>
      <c r="G34" s="1" t="s">
        <v>16</v>
      </c>
      <c r="H34" s="1">
        <v>155</v>
      </c>
      <c r="I34" s="1">
        <v>10</v>
      </c>
      <c r="J34" s="1">
        <v>19.2</v>
      </c>
      <c r="K34" s="1">
        <f t="shared" si="0"/>
        <v>116</v>
      </c>
      <c r="L34" s="1">
        <f t="shared" si="1"/>
        <v>8.0172413793103452</v>
      </c>
      <c r="M34" s="1">
        <v>158</v>
      </c>
      <c r="N34" s="1">
        <v>6</v>
      </c>
      <c r="O34" s="1">
        <v>15.5</v>
      </c>
      <c r="P34" s="1">
        <f t="shared" si="2"/>
        <v>95</v>
      </c>
      <c r="Q34" s="1">
        <f t="shared" si="3"/>
        <v>9.9789473684210535</v>
      </c>
      <c r="R34" s="1" t="s">
        <v>18</v>
      </c>
      <c r="S34" s="1" t="s">
        <v>16</v>
      </c>
    </row>
    <row r="35" spans="1:19" x14ac:dyDescent="0.2">
      <c r="A35" s="1">
        <v>41</v>
      </c>
      <c r="B35" s="3">
        <v>46141</v>
      </c>
      <c r="C35" s="1" t="s">
        <v>39</v>
      </c>
      <c r="D35" s="1" t="s">
        <v>26</v>
      </c>
      <c r="E35" s="1" t="s">
        <v>22</v>
      </c>
      <c r="F35" s="1" t="s">
        <v>26</v>
      </c>
      <c r="G35" s="1" t="s">
        <v>22</v>
      </c>
      <c r="H35" s="1">
        <v>243</v>
      </c>
      <c r="I35" s="1">
        <v>5</v>
      </c>
      <c r="J35" s="1">
        <v>20</v>
      </c>
      <c r="K35" s="1">
        <f t="shared" si="0"/>
        <v>120</v>
      </c>
      <c r="L35" s="1">
        <f t="shared" si="1"/>
        <v>12.15</v>
      </c>
      <c r="M35" s="1">
        <v>249</v>
      </c>
      <c r="N35" s="1">
        <v>4</v>
      </c>
      <c r="O35" s="1">
        <v>18.399999999999999</v>
      </c>
      <c r="P35" s="1">
        <f t="shared" si="2"/>
        <v>112</v>
      </c>
      <c r="Q35" s="1">
        <f t="shared" si="3"/>
        <v>13.339285714285714</v>
      </c>
      <c r="R35" s="1" t="s">
        <v>18</v>
      </c>
      <c r="S35" s="1" t="s">
        <v>22</v>
      </c>
    </row>
    <row r="36" spans="1:19" x14ac:dyDescent="0.2">
      <c r="A36" s="1">
        <v>40</v>
      </c>
      <c r="B36" s="3">
        <v>46140</v>
      </c>
      <c r="C36" s="1" t="s">
        <v>41</v>
      </c>
      <c r="D36" s="1" t="s">
        <v>28</v>
      </c>
      <c r="E36" s="1" t="s">
        <v>20</v>
      </c>
      <c r="F36" s="1" t="s">
        <v>28</v>
      </c>
      <c r="G36" s="1" t="s">
        <v>20</v>
      </c>
      <c r="H36" s="1">
        <v>222</v>
      </c>
      <c r="I36" s="1">
        <v>4</v>
      </c>
      <c r="J36" s="1">
        <v>20</v>
      </c>
      <c r="K36" s="1">
        <f t="shared" si="0"/>
        <v>120</v>
      </c>
      <c r="L36" s="1">
        <f t="shared" si="1"/>
        <v>11.1</v>
      </c>
      <c r="M36" s="1">
        <v>228</v>
      </c>
      <c r="N36" s="1">
        <v>4</v>
      </c>
      <c r="O36" s="1">
        <v>19.2</v>
      </c>
      <c r="P36" s="1">
        <f t="shared" si="2"/>
        <v>116</v>
      </c>
      <c r="Q36" s="1">
        <f t="shared" si="3"/>
        <v>11.793103448275861</v>
      </c>
      <c r="R36" s="1" t="s">
        <v>18</v>
      </c>
      <c r="S36" s="1" t="s">
        <v>20</v>
      </c>
    </row>
    <row r="37" spans="1:19" x14ac:dyDescent="0.2">
      <c r="A37" s="1">
        <v>39</v>
      </c>
      <c r="B37" s="3">
        <v>46139</v>
      </c>
      <c r="C37" s="1" t="s">
        <v>45</v>
      </c>
      <c r="D37" s="1" t="s">
        <v>24</v>
      </c>
      <c r="E37" s="1" t="s">
        <v>17</v>
      </c>
      <c r="F37" s="1" t="s">
        <v>24</v>
      </c>
      <c r="G37" s="1" t="s">
        <v>17</v>
      </c>
      <c r="H37" s="1">
        <v>75</v>
      </c>
      <c r="I37" s="1">
        <v>10</v>
      </c>
      <c r="J37" s="1">
        <v>16.3</v>
      </c>
      <c r="K37" s="1">
        <f t="shared" si="0"/>
        <v>99</v>
      </c>
      <c r="L37" s="1">
        <f t="shared" si="1"/>
        <v>4.5454545454545459</v>
      </c>
      <c r="M37" s="1">
        <v>77</v>
      </c>
      <c r="N37" s="1">
        <v>1</v>
      </c>
      <c r="O37" s="1">
        <v>6.3</v>
      </c>
      <c r="P37" s="1">
        <f t="shared" si="2"/>
        <v>39</v>
      </c>
      <c r="Q37" s="1">
        <f t="shared" si="3"/>
        <v>11.846153846153847</v>
      </c>
      <c r="R37" s="1" t="s">
        <v>18</v>
      </c>
      <c r="S37" s="1" t="s">
        <v>17</v>
      </c>
    </row>
    <row r="38" spans="1:19" x14ac:dyDescent="0.2">
      <c r="A38" s="1">
        <v>38</v>
      </c>
      <c r="B38" s="3">
        <v>46138</v>
      </c>
      <c r="C38" s="1" t="s">
        <v>42</v>
      </c>
      <c r="D38" s="1" t="s">
        <v>27</v>
      </c>
      <c r="E38" s="1" t="s">
        <v>25</v>
      </c>
      <c r="F38" s="1" t="s">
        <v>25</v>
      </c>
      <c r="G38" s="1" t="s">
        <v>27</v>
      </c>
      <c r="H38" s="1">
        <v>155</v>
      </c>
      <c r="I38" s="1">
        <v>7</v>
      </c>
      <c r="J38" s="1">
        <v>20</v>
      </c>
      <c r="K38" s="1">
        <f t="shared" si="0"/>
        <v>120</v>
      </c>
      <c r="L38" s="1">
        <f t="shared" si="1"/>
        <v>7.75</v>
      </c>
      <c r="M38" s="1">
        <v>155</v>
      </c>
      <c r="N38" s="1">
        <v>8</v>
      </c>
      <c r="O38" s="1">
        <v>20</v>
      </c>
      <c r="P38" s="1">
        <f t="shared" si="2"/>
        <v>120</v>
      </c>
      <c r="Q38" s="1">
        <f t="shared" si="3"/>
        <v>7.75</v>
      </c>
      <c r="R38" s="1" t="s">
        <v>30</v>
      </c>
      <c r="S38" s="1" t="s">
        <v>25</v>
      </c>
    </row>
    <row r="39" spans="1:19" x14ac:dyDescent="0.2">
      <c r="A39" s="1">
        <v>37</v>
      </c>
      <c r="B39" s="3">
        <v>46138</v>
      </c>
      <c r="C39" s="1" t="s">
        <v>44</v>
      </c>
      <c r="D39" s="1" t="s">
        <v>29</v>
      </c>
      <c r="E39" s="1" t="s">
        <v>16</v>
      </c>
      <c r="F39" s="1" t="s">
        <v>29</v>
      </c>
      <c r="G39" s="1" t="s">
        <v>16</v>
      </c>
      <c r="H39" s="1">
        <v>158</v>
      </c>
      <c r="I39" s="1">
        <v>7</v>
      </c>
      <c r="J39" s="1">
        <v>20</v>
      </c>
      <c r="K39" s="1">
        <f t="shared" si="0"/>
        <v>120</v>
      </c>
      <c r="L39" s="1">
        <f t="shared" si="1"/>
        <v>7.9</v>
      </c>
      <c r="M39" s="1">
        <v>162</v>
      </c>
      <c r="N39" s="1">
        <v>2</v>
      </c>
      <c r="O39" s="1">
        <v>16.399999999999999</v>
      </c>
      <c r="P39" s="1">
        <f t="shared" si="2"/>
        <v>100</v>
      </c>
      <c r="Q39" s="1">
        <f t="shared" si="3"/>
        <v>9.7200000000000006</v>
      </c>
      <c r="R39" s="1" t="s">
        <v>18</v>
      </c>
      <c r="S39" s="1" t="s">
        <v>16</v>
      </c>
    </row>
    <row r="40" spans="1:19" x14ac:dyDescent="0.2">
      <c r="A40" s="1">
        <v>36</v>
      </c>
      <c r="B40" s="3">
        <v>46137</v>
      </c>
      <c r="C40" s="1" t="s">
        <v>48</v>
      </c>
      <c r="D40" s="1" t="s">
        <v>20</v>
      </c>
      <c r="E40" s="1" t="s">
        <v>22</v>
      </c>
      <c r="F40" s="1" t="s">
        <v>20</v>
      </c>
      <c r="G40" s="1" t="s">
        <v>22</v>
      </c>
      <c r="H40" s="1">
        <v>228</v>
      </c>
      <c r="I40" s="1">
        <v>6</v>
      </c>
      <c r="J40" s="1">
        <v>20</v>
      </c>
      <c r="K40" s="1">
        <f t="shared" si="0"/>
        <v>120</v>
      </c>
      <c r="L40" s="1">
        <f t="shared" si="1"/>
        <v>11.4</v>
      </c>
      <c r="M40" s="1">
        <v>229</v>
      </c>
      <c r="N40" s="1">
        <v>5</v>
      </c>
      <c r="O40" s="1">
        <v>18.3</v>
      </c>
      <c r="P40" s="1">
        <f t="shared" si="2"/>
        <v>111</v>
      </c>
      <c r="Q40" s="1">
        <f t="shared" si="3"/>
        <v>12.378378378378379</v>
      </c>
      <c r="R40" s="1" t="s">
        <v>18</v>
      </c>
      <c r="S40" s="1" t="s">
        <v>22</v>
      </c>
    </row>
    <row r="41" spans="1:19" x14ac:dyDescent="0.2">
      <c r="A41" s="1">
        <v>35</v>
      </c>
      <c r="B41" s="3">
        <v>46137</v>
      </c>
      <c r="C41" s="1" t="s">
        <v>45</v>
      </c>
      <c r="D41" s="1" t="s">
        <v>24</v>
      </c>
      <c r="E41" s="1" t="s">
        <v>28</v>
      </c>
      <c r="F41" s="1" t="s">
        <v>24</v>
      </c>
      <c r="G41" s="1" t="s">
        <v>28</v>
      </c>
      <c r="H41" s="1">
        <v>264</v>
      </c>
      <c r="I41" s="1">
        <v>2</v>
      </c>
      <c r="J41" s="1">
        <v>20</v>
      </c>
      <c r="K41" s="1">
        <f t="shared" si="0"/>
        <v>120</v>
      </c>
      <c r="L41" s="1">
        <f t="shared" si="1"/>
        <v>13.2</v>
      </c>
      <c r="M41" s="1">
        <v>265</v>
      </c>
      <c r="N41" s="1">
        <v>4</v>
      </c>
      <c r="O41" s="1">
        <v>18.5</v>
      </c>
      <c r="P41" s="1">
        <f t="shared" si="2"/>
        <v>113</v>
      </c>
      <c r="Q41" s="1">
        <f t="shared" si="3"/>
        <v>14.070796460176991</v>
      </c>
      <c r="R41" s="1" t="s">
        <v>18</v>
      </c>
      <c r="S41" s="1" t="s">
        <v>28</v>
      </c>
    </row>
    <row r="42" spans="1:19" x14ac:dyDescent="0.2">
      <c r="A42" s="1">
        <v>34</v>
      </c>
      <c r="B42" s="3">
        <v>46136</v>
      </c>
      <c r="C42" s="1" t="s">
        <v>54</v>
      </c>
      <c r="D42" s="1" t="s">
        <v>16</v>
      </c>
      <c r="E42" s="1" t="s">
        <v>17</v>
      </c>
      <c r="F42" s="1" t="s">
        <v>16</v>
      </c>
      <c r="G42" s="1" t="s">
        <v>17</v>
      </c>
      <c r="H42" s="1">
        <v>205</v>
      </c>
      <c r="I42" s="1">
        <v>3</v>
      </c>
      <c r="J42" s="1">
        <v>20</v>
      </c>
      <c r="K42" s="1">
        <f t="shared" si="0"/>
        <v>120</v>
      </c>
      <c r="L42" s="1">
        <f t="shared" si="1"/>
        <v>10.25</v>
      </c>
      <c r="M42" s="1">
        <v>206</v>
      </c>
      <c r="N42" s="1">
        <v>5</v>
      </c>
      <c r="O42" s="1">
        <v>18.5</v>
      </c>
      <c r="P42" s="1">
        <f t="shared" si="2"/>
        <v>113</v>
      </c>
      <c r="Q42" s="1">
        <f t="shared" si="3"/>
        <v>10.938053097345133</v>
      </c>
      <c r="R42" s="1" t="s">
        <v>18</v>
      </c>
      <c r="S42" s="1" t="s">
        <v>17</v>
      </c>
    </row>
    <row r="43" spans="1:19" x14ac:dyDescent="0.2">
      <c r="A43" s="1">
        <v>33</v>
      </c>
      <c r="B43" s="3">
        <v>46135</v>
      </c>
      <c r="C43" s="1" t="s">
        <v>39</v>
      </c>
      <c r="D43" s="1" t="s">
        <v>29</v>
      </c>
      <c r="E43" s="1" t="s">
        <v>26</v>
      </c>
      <c r="F43" s="1" t="s">
        <v>29</v>
      </c>
      <c r="G43" s="1" t="s">
        <v>26</v>
      </c>
      <c r="H43" s="1">
        <v>207</v>
      </c>
      <c r="I43" s="1">
        <v>6</v>
      </c>
      <c r="J43" s="1">
        <v>20</v>
      </c>
      <c r="K43" s="1">
        <f t="shared" si="0"/>
        <v>120</v>
      </c>
      <c r="L43" s="1">
        <f t="shared" si="1"/>
        <v>10.35</v>
      </c>
      <c r="M43" s="1">
        <v>104</v>
      </c>
      <c r="N43" s="1">
        <v>10</v>
      </c>
      <c r="O43" s="1">
        <v>19</v>
      </c>
      <c r="P43" s="1">
        <f t="shared" si="2"/>
        <v>114</v>
      </c>
      <c r="Q43" s="1">
        <f t="shared" si="3"/>
        <v>5.4736842105263159</v>
      </c>
      <c r="R43" s="1" t="s">
        <v>18</v>
      </c>
      <c r="S43" s="1" t="s">
        <v>29</v>
      </c>
    </row>
    <row r="44" spans="1:19" x14ac:dyDescent="0.2">
      <c r="A44" s="1">
        <v>32</v>
      </c>
      <c r="B44" s="3">
        <v>46134</v>
      </c>
      <c r="C44" s="1" t="s">
        <v>42</v>
      </c>
      <c r="D44" s="1" t="s">
        <v>20</v>
      </c>
      <c r="E44" s="1" t="s">
        <v>27</v>
      </c>
      <c r="F44" s="1" t="s">
        <v>20</v>
      </c>
      <c r="G44" s="1" t="s">
        <v>27</v>
      </c>
      <c r="H44" s="1">
        <v>159</v>
      </c>
      <c r="I44" s="1">
        <v>6</v>
      </c>
      <c r="J44" s="1">
        <v>20</v>
      </c>
      <c r="K44" s="1">
        <f t="shared" si="0"/>
        <v>120</v>
      </c>
      <c r="L44" s="1">
        <f t="shared" si="1"/>
        <v>7.95</v>
      </c>
      <c r="M44" s="1">
        <v>119</v>
      </c>
      <c r="N44" s="1">
        <v>10</v>
      </c>
      <c r="O44" s="1">
        <v>18</v>
      </c>
      <c r="P44" s="1">
        <f t="shared" si="2"/>
        <v>108</v>
      </c>
      <c r="Q44" s="1">
        <f t="shared" si="3"/>
        <v>6.6111111111111107</v>
      </c>
      <c r="R44" s="1" t="s">
        <v>18</v>
      </c>
      <c r="S44" s="1" t="s">
        <v>20</v>
      </c>
    </row>
    <row r="45" spans="1:19" x14ac:dyDescent="0.2">
      <c r="A45" s="1">
        <v>31</v>
      </c>
      <c r="B45" s="3">
        <v>46133</v>
      </c>
      <c r="C45" s="1" t="s">
        <v>47</v>
      </c>
      <c r="D45" s="1" t="s">
        <v>22</v>
      </c>
      <c r="E45" s="1" t="s">
        <v>24</v>
      </c>
      <c r="F45" s="1" t="s">
        <v>22</v>
      </c>
      <c r="G45" s="1" t="s">
        <v>24</v>
      </c>
      <c r="H45" s="1">
        <v>242</v>
      </c>
      <c r="I45" s="1">
        <v>2</v>
      </c>
      <c r="J45" s="1">
        <v>20</v>
      </c>
      <c r="K45" s="1">
        <f t="shared" si="0"/>
        <v>120</v>
      </c>
      <c r="L45" s="1">
        <f t="shared" si="1"/>
        <v>12.1</v>
      </c>
      <c r="M45" s="1">
        <v>195</v>
      </c>
      <c r="N45" s="1">
        <v>9</v>
      </c>
      <c r="O45" s="1">
        <v>20</v>
      </c>
      <c r="P45" s="1">
        <f t="shared" si="2"/>
        <v>120</v>
      </c>
      <c r="Q45" s="1">
        <f t="shared" si="3"/>
        <v>9.75</v>
      </c>
      <c r="R45" s="1" t="s">
        <v>18</v>
      </c>
      <c r="S45" s="1" t="s">
        <v>22</v>
      </c>
    </row>
    <row r="46" spans="1:19" x14ac:dyDescent="0.2">
      <c r="A46" s="1">
        <v>30</v>
      </c>
      <c r="B46" s="3">
        <v>46132</v>
      </c>
      <c r="C46" s="1" t="s">
        <v>46</v>
      </c>
      <c r="D46" s="1" t="s">
        <v>26</v>
      </c>
      <c r="E46" s="1" t="s">
        <v>16</v>
      </c>
      <c r="F46" s="1" t="s">
        <v>26</v>
      </c>
      <c r="G46" s="1" t="s">
        <v>16</v>
      </c>
      <c r="H46" s="1">
        <v>199</v>
      </c>
      <c r="I46" s="1">
        <v>5</v>
      </c>
      <c r="J46" s="1">
        <v>20</v>
      </c>
      <c r="K46" s="1">
        <f t="shared" si="0"/>
        <v>120</v>
      </c>
      <c r="L46" s="1">
        <f t="shared" si="1"/>
        <v>9.9499999999999993</v>
      </c>
      <c r="M46" s="1">
        <v>100</v>
      </c>
      <c r="N46" s="1">
        <v>10</v>
      </c>
      <c r="O46" s="1">
        <v>15.5</v>
      </c>
      <c r="P46" s="1">
        <f t="shared" si="2"/>
        <v>95</v>
      </c>
      <c r="Q46" s="1">
        <f t="shared" si="3"/>
        <v>6.3157894736842106</v>
      </c>
      <c r="R46" s="1" t="s">
        <v>18</v>
      </c>
      <c r="S46" s="1" t="s">
        <v>26</v>
      </c>
    </row>
    <row r="47" spans="1:19" x14ac:dyDescent="0.2">
      <c r="A47" s="1">
        <v>29</v>
      </c>
      <c r="B47" s="3">
        <v>46131</v>
      </c>
      <c r="C47" s="1" t="s">
        <v>41</v>
      </c>
      <c r="D47" s="1" t="s">
        <v>28</v>
      </c>
      <c r="E47" s="1" t="s">
        <v>27</v>
      </c>
      <c r="F47" s="1" t="s">
        <v>28</v>
      </c>
      <c r="G47" s="1" t="s">
        <v>27</v>
      </c>
      <c r="H47" s="1">
        <v>254</v>
      </c>
      <c r="I47" s="1">
        <v>7</v>
      </c>
      <c r="J47" s="1">
        <v>20</v>
      </c>
      <c r="K47" s="1">
        <f t="shared" si="0"/>
        <v>120</v>
      </c>
      <c r="L47" s="1">
        <f t="shared" si="1"/>
        <v>12.7</v>
      </c>
      <c r="M47" s="1">
        <v>200</v>
      </c>
      <c r="N47" s="1">
        <v>5</v>
      </c>
      <c r="O47" s="1">
        <v>20</v>
      </c>
      <c r="P47" s="1">
        <f t="shared" si="2"/>
        <v>120</v>
      </c>
      <c r="Q47" s="1">
        <f t="shared" si="3"/>
        <v>10</v>
      </c>
      <c r="R47" s="1" t="s">
        <v>18</v>
      </c>
      <c r="S47" s="1" t="s">
        <v>28</v>
      </c>
    </row>
    <row r="48" spans="1:19" x14ac:dyDescent="0.2">
      <c r="A48" s="1">
        <v>28</v>
      </c>
      <c r="B48" s="3">
        <v>46131</v>
      </c>
      <c r="C48" s="1" t="s">
        <v>43</v>
      </c>
      <c r="D48" s="1" t="s">
        <v>20</v>
      </c>
      <c r="E48" s="1" t="s">
        <v>25</v>
      </c>
      <c r="F48" s="1" t="s">
        <v>20</v>
      </c>
      <c r="G48" s="1" t="s">
        <v>25</v>
      </c>
      <c r="H48" s="1">
        <v>155</v>
      </c>
      <c r="I48" s="1">
        <v>9</v>
      </c>
      <c r="J48" s="1">
        <v>20</v>
      </c>
      <c r="K48" s="1">
        <f t="shared" si="0"/>
        <v>120</v>
      </c>
      <c r="L48" s="1">
        <f t="shared" si="1"/>
        <v>7.75</v>
      </c>
      <c r="M48" s="1">
        <v>161</v>
      </c>
      <c r="N48" s="1">
        <v>6</v>
      </c>
      <c r="O48" s="1">
        <v>19.399999999999999</v>
      </c>
      <c r="P48" s="1">
        <f t="shared" si="2"/>
        <v>118</v>
      </c>
      <c r="Q48" s="1">
        <f t="shared" si="3"/>
        <v>8.1864406779661021</v>
      </c>
      <c r="R48" s="1" t="s">
        <v>18</v>
      </c>
      <c r="S48" s="1" t="s">
        <v>25</v>
      </c>
    </row>
    <row r="49" spans="1:19" x14ac:dyDescent="0.2">
      <c r="A49" s="1">
        <v>27</v>
      </c>
      <c r="B49" s="3">
        <v>46130</v>
      </c>
      <c r="C49" s="1" t="s">
        <v>47</v>
      </c>
      <c r="D49" s="1" t="s">
        <v>22</v>
      </c>
      <c r="E49" s="1" t="s">
        <v>29</v>
      </c>
      <c r="F49" s="1" t="s">
        <v>22</v>
      </c>
      <c r="G49" s="1" t="s">
        <v>29</v>
      </c>
      <c r="H49" s="1">
        <v>194</v>
      </c>
      <c r="I49" s="1">
        <v>9</v>
      </c>
      <c r="J49" s="1">
        <v>20</v>
      </c>
      <c r="K49" s="1">
        <f t="shared" si="0"/>
        <v>120</v>
      </c>
      <c r="L49" s="1">
        <f t="shared" si="1"/>
        <v>9.6999999999999993</v>
      </c>
      <c r="M49" s="1">
        <v>184</v>
      </c>
      <c r="N49" s="1">
        <v>8</v>
      </c>
      <c r="O49" s="1">
        <v>20</v>
      </c>
      <c r="P49" s="1">
        <f t="shared" si="2"/>
        <v>120</v>
      </c>
      <c r="Q49" s="1">
        <f t="shared" si="3"/>
        <v>9.1999999999999993</v>
      </c>
      <c r="R49" s="1" t="s">
        <v>18</v>
      </c>
      <c r="S49" s="1" t="s">
        <v>22</v>
      </c>
    </row>
    <row r="50" spans="1:19" x14ac:dyDescent="0.2">
      <c r="A50" s="1">
        <v>26</v>
      </c>
      <c r="B50" s="3">
        <v>46130</v>
      </c>
      <c r="C50" s="1" t="s">
        <v>54</v>
      </c>
      <c r="D50" s="1" t="s">
        <v>17</v>
      </c>
      <c r="E50" s="1" t="s">
        <v>24</v>
      </c>
      <c r="F50" s="1" t="s">
        <v>17</v>
      </c>
      <c r="G50" s="1" t="s">
        <v>24</v>
      </c>
      <c r="H50" s="1">
        <v>175</v>
      </c>
      <c r="I50" s="1">
        <v>8</v>
      </c>
      <c r="J50" s="1">
        <v>20</v>
      </c>
      <c r="K50" s="1">
        <f t="shared" si="0"/>
        <v>120</v>
      </c>
      <c r="L50" s="1">
        <f t="shared" si="1"/>
        <v>8.75</v>
      </c>
      <c r="M50" s="1">
        <v>179</v>
      </c>
      <c r="N50" s="1">
        <v>4</v>
      </c>
      <c r="O50" s="1">
        <v>19.5</v>
      </c>
      <c r="P50" s="1">
        <f t="shared" si="2"/>
        <v>119</v>
      </c>
      <c r="Q50" s="1">
        <f t="shared" si="3"/>
        <v>9.0252100840336134</v>
      </c>
      <c r="R50" s="1" t="s">
        <v>18</v>
      </c>
      <c r="S50" s="1" t="s">
        <v>24</v>
      </c>
    </row>
    <row r="51" spans="1:19" x14ac:dyDescent="0.2">
      <c r="A51" s="1">
        <v>25</v>
      </c>
      <c r="B51" s="3">
        <v>46129</v>
      </c>
      <c r="C51" s="1" t="s">
        <v>46</v>
      </c>
      <c r="D51" s="1" t="s">
        <v>25</v>
      </c>
      <c r="E51" s="1" t="s">
        <v>16</v>
      </c>
      <c r="F51" s="1" t="s">
        <v>25</v>
      </c>
      <c r="G51" s="1" t="s">
        <v>16</v>
      </c>
      <c r="H51" s="1">
        <v>180</v>
      </c>
      <c r="I51" s="1">
        <v>10</v>
      </c>
      <c r="J51" s="1">
        <v>20</v>
      </c>
      <c r="K51" s="1">
        <f t="shared" si="0"/>
        <v>120</v>
      </c>
      <c r="L51" s="1">
        <f t="shared" si="1"/>
        <v>9</v>
      </c>
      <c r="M51" s="1">
        <v>181</v>
      </c>
      <c r="N51" s="1">
        <v>5</v>
      </c>
      <c r="O51" s="1">
        <v>19.399999999999999</v>
      </c>
      <c r="P51" s="1">
        <f t="shared" si="2"/>
        <v>118</v>
      </c>
      <c r="Q51" s="1">
        <f t="shared" si="3"/>
        <v>9.203389830508474</v>
      </c>
      <c r="R51" s="1" t="s">
        <v>18</v>
      </c>
      <c r="S51" s="1" t="s">
        <v>16</v>
      </c>
    </row>
    <row r="52" spans="1:19" x14ac:dyDescent="0.2">
      <c r="A52" s="1">
        <v>24</v>
      </c>
      <c r="B52" s="3">
        <v>46128</v>
      </c>
      <c r="C52" s="1" t="s">
        <v>39</v>
      </c>
      <c r="D52" s="1" t="s">
        <v>26</v>
      </c>
      <c r="E52" s="1" t="s">
        <v>28</v>
      </c>
      <c r="F52" s="1" t="s">
        <v>26</v>
      </c>
      <c r="G52" s="1" t="s">
        <v>28</v>
      </c>
      <c r="H52" s="1">
        <v>195</v>
      </c>
      <c r="I52" s="1">
        <v>6</v>
      </c>
      <c r="J52" s="1">
        <v>20</v>
      </c>
      <c r="K52" s="1">
        <f t="shared" si="0"/>
        <v>120</v>
      </c>
      <c r="L52" s="1">
        <f t="shared" si="1"/>
        <v>9.75</v>
      </c>
      <c r="M52" s="1">
        <v>198</v>
      </c>
      <c r="N52" s="1">
        <v>3</v>
      </c>
      <c r="O52" s="1">
        <v>16.3</v>
      </c>
      <c r="P52" s="1">
        <f t="shared" si="2"/>
        <v>99</v>
      </c>
      <c r="Q52" s="1">
        <f t="shared" si="3"/>
        <v>12</v>
      </c>
      <c r="R52" s="1" t="s">
        <v>18</v>
      </c>
      <c r="S52" s="1" t="s">
        <v>28</v>
      </c>
    </row>
    <row r="53" spans="1:19" x14ac:dyDescent="0.2">
      <c r="A53" s="1">
        <v>23</v>
      </c>
      <c r="B53" s="3">
        <v>46127</v>
      </c>
      <c r="C53" s="1" t="s">
        <v>54</v>
      </c>
      <c r="D53" s="1" t="s">
        <v>27</v>
      </c>
      <c r="E53" s="1" t="s">
        <v>17</v>
      </c>
      <c r="F53" s="1" t="s">
        <v>27</v>
      </c>
      <c r="G53" s="1" t="s">
        <v>17</v>
      </c>
      <c r="H53" s="1">
        <v>146</v>
      </c>
      <c r="I53" s="1">
        <v>10</v>
      </c>
      <c r="J53" s="1">
        <v>20</v>
      </c>
      <c r="K53" s="1">
        <f t="shared" si="0"/>
        <v>120</v>
      </c>
      <c r="L53" s="1">
        <f t="shared" si="1"/>
        <v>7.3</v>
      </c>
      <c r="M53" s="1">
        <v>149</v>
      </c>
      <c r="N53" s="1">
        <v>5</v>
      </c>
      <c r="O53" s="1">
        <v>15.1</v>
      </c>
      <c r="P53" s="1">
        <f t="shared" si="2"/>
        <v>91</v>
      </c>
      <c r="Q53" s="1">
        <f t="shared" si="3"/>
        <v>9.8241758241758248</v>
      </c>
      <c r="R53" s="1" t="s">
        <v>18</v>
      </c>
      <c r="S53" s="1" t="s">
        <v>17</v>
      </c>
    </row>
    <row r="54" spans="1:19" x14ac:dyDescent="0.2">
      <c r="A54" s="1">
        <v>22</v>
      </c>
      <c r="B54" s="3">
        <v>46126</v>
      </c>
      <c r="C54" s="1" t="s">
        <v>44</v>
      </c>
      <c r="D54" s="1" t="s">
        <v>29</v>
      </c>
      <c r="E54" s="1" t="s">
        <v>25</v>
      </c>
      <c r="F54" s="1" t="s">
        <v>29</v>
      </c>
      <c r="G54" s="1" t="s">
        <v>25</v>
      </c>
      <c r="H54" s="1">
        <v>192</v>
      </c>
      <c r="I54" s="1">
        <v>5</v>
      </c>
      <c r="J54" s="1">
        <v>20</v>
      </c>
      <c r="K54" s="1">
        <f t="shared" si="0"/>
        <v>120</v>
      </c>
      <c r="L54" s="1">
        <f t="shared" si="1"/>
        <v>9.6</v>
      </c>
      <c r="M54" s="1">
        <v>160</v>
      </c>
      <c r="N54" s="1">
        <v>7</v>
      </c>
      <c r="O54" s="1">
        <v>20</v>
      </c>
      <c r="P54" s="1">
        <f t="shared" si="2"/>
        <v>120</v>
      </c>
      <c r="Q54" s="1">
        <f t="shared" si="3"/>
        <v>8</v>
      </c>
      <c r="R54" s="1" t="s">
        <v>18</v>
      </c>
      <c r="S54" s="1" t="s">
        <v>29</v>
      </c>
    </row>
    <row r="55" spans="1:19" x14ac:dyDescent="0.2">
      <c r="A55" s="1">
        <v>21</v>
      </c>
      <c r="B55" s="3">
        <v>46125</v>
      </c>
      <c r="C55" s="1" t="s">
        <v>47</v>
      </c>
      <c r="D55" s="1" t="s">
        <v>22</v>
      </c>
      <c r="E55" s="1" t="s">
        <v>20</v>
      </c>
      <c r="F55" s="1" t="s">
        <v>22</v>
      </c>
      <c r="G55" s="1" t="s">
        <v>20</v>
      </c>
      <c r="H55" s="1">
        <v>216</v>
      </c>
      <c r="I55" s="1">
        <v>6</v>
      </c>
      <c r="J55" s="1">
        <v>20</v>
      </c>
      <c r="K55" s="1">
        <f t="shared" si="0"/>
        <v>120</v>
      </c>
      <c r="L55" s="1">
        <f t="shared" si="1"/>
        <v>10.8</v>
      </c>
      <c r="M55" s="1">
        <v>159</v>
      </c>
      <c r="N55" s="1">
        <v>10</v>
      </c>
      <c r="O55" s="1">
        <v>19</v>
      </c>
      <c r="P55" s="1">
        <f t="shared" si="2"/>
        <v>114</v>
      </c>
      <c r="Q55" s="1">
        <f t="shared" si="3"/>
        <v>8.3684210526315788</v>
      </c>
      <c r="R55" s="1" t="s">
        <v>18</v>
      </c>
      <c r="S55" s="1" t="s">
        <v>22</v>
      </c>
    </row>
    <row r="56" spans="1:19" x14ac:dyDescent="0.2">
      <c r="A56" s="1">
        <v>20</v>
      </c>
      <c r="B56" s="3">
        <v>46124</v>
      </c>
      <c r="C56" s="1" t="s">
        <v>39</v>
      </c>
      <c r="D56" s="1" t="s">
        <v>17</v>
      </c>
      <c r="E56" s="1" t="s">
        <v>26</v>
      </c>
      <c r="F56" s="1" t="s">
        <v>17</v>
      </c>
      <c r="G56" s="1" t="s">
        <v>26</v>
      </c>
      <c r="H56" s="1">
        <v>240</v>
      </c>
      <c r="I56" s="1">
        <v>4</v>
      </c>
      <c r="J56" s="1">
        <v>20</v>
      </c>
      <c r="K56" s="1">
        <f t="shared" si="0"/>
        <v>120</v>
      </c>
      <c r="L56" s="1">
        <f t="shared" si="1"/>
        <v>12</v>
      </c>
      <c r="M56" s="1">
        <v>222</v>
      </c>
      <c r="N56" s="1">
        <v>5</v>
      </c>
      <c r="O56" s="1">
        <v>20</v>
      </c>
      <c r="P56" s="1">
        <f t="shared" si="2"/>
        <v>120</v>
      </c>
      <c r="Q56" s="1">
        <f t="shared" si="3"/>
        <v>11.1</v>
      </c>
      <c r="R56" s="1" t="s">
        <v>18</v>
      </c>
      <c r="S56" s="1" t="s">
        <v>17</v>
      </c>
    </row>
    <row r="57" spans="1:19" x14ac:dyDescent="0.2">
      <c r="A57" s="1">
        <v>19</v>
      </c>
      <c r="B57" s="3">
        <v>46124</v>
      </c>
      <c r="C57" s="1" t="s">
        <v>42</v>
      </c>
      <c r="D57" s="1" t="s">
        <v>27</v>
      </c>
      <c r="E57" s="1" t="s">
        <v>16</v>
      </c>
      <c r="F57" s="1" t="s">
        <v>27</v>
      </c>
      <c r="G57" s="1" t="s">
        <v>16</v>
      </c>
      <c r="H57" s="1">
        <v>164</v>
      </c>
      <c r="I57" s="1">
        <v>8</v>
      </c>
      <c r="J57" s="1">
        <v>20</v>
      </c>
      <c r="K57" s="1">
        <f t="shared" si="0"/>
        <v>120</v>
      </c>
      <c r="L57" s="1">
        <f t="shared" si="1"/>
        <v>8.1999999999999993</v>
      </c>
      <c r="M57" s="1">
        <v>165</v>
      </c>
      <c r="N57" s="1">
        <v>3</v>
      </c>
      <c r="O57" s="1">
        <v>18.399999999999999</v>
      </c>
      <c r="P57" s="1">
        <f t="shared" si="2"/>
        <v>112</v>
      </c>
      <c r="Q57" s="1">
        <f t="shared" si="3"/>
        <v>8.8392857142857135</v>
      </c>
      <c r="R57" s="1" t="s">
        <v>18</v>
      </c>
      <c r="S57" s="1" t="s">
        <v>16</v>
      </c>
    </row>
    <row r="58" spans="1:19" x14ac:dyDescent="0.2">
      <c r="A58" s="1">
        <v>18</v>
      </c>
      <c r="B58" s="3">
        <v>46123</v>
      </c>
      <c r="C58" s="1" t="s">
        <v>44</v>
      </c>
      <c r="D58" s="1" t="s">
        <v>29</v>
      </c>
      <c r="E58" s="1" t="s">
        <v>24</v>
      </c>
      <c r="F58" s="1" t="s">
        <v>29</v>
      </c>
      <c r="G58" s="1" t="s">
        <v>24</v>
      </c>
      <c r="H58" s="1">
        <v>212</v>
      </c>
      <c r="I58" s="1">
        <v>2</v>
      </c>
      <c r="J58" s="1">
        <v>20</v>
      </c>
      <c r="K58" s="1">
        <f t="shared" si="0"/>
        <v>120</v>
      </c>
      <c r="L58" s="1">
        <f t="shared" si="1"/>
        <v>10.6</v>
      </c>
      <c r="M58" s="1">
        <v>189</v>
      </c>
      <c r="N58" s="1">
        <v>10</v>
      </c>
      <c r="O58" s="1">
        <v>20</v>
      </c>
      <c r="P58" s="1">
        <f t="shared" si="2"/>
        <v>120</v>
      </c>
      <c r="Q58" s="1">
        <f t="shared" si="3"/>
        <v>9.4499999999999993</v>
      </c>
      <c r="R58" s="1" t="s">
        <v>18</v>
      </c>
      <c r="S58" s="1" t="s">
        <v>29</v>
      </c>
    </row>
    <row r="59" spans="1:19" x14ac:dyDescent="0.2">
      <c r="A59" s="1">
        <v>17</v>
      </c>
      <c r="B59" s="3">
        <v>46123</v>
      </c>
      <c r="C59" s="1" t="s">
        <v>41</v>
      </c>
      <c r="D59" s="1" t="s">
        <v>22</v>
      </c>
      <c r="E59" s="1" t="s">
        <v>28</v>
      </c>
      <c r="F59" s="1" t="s">
        <v>22</v>
      </c>
      <c r="G59" s="1" t="s">
        <v>28</v>
      </c>
      <c r="H59" s="1">
        <v>219</v>
      </c>
      <c r="I59" s="1">
        <v>6</v>
      </c>
      <c r="J59" s="1">
        <v>20</v>
      </c>
      <c r="K59" s="1">
        <f t="shared" si="0"/>
        <v>120</v>
      </c>
      <c r="L59" s="1">
        <f t="shared" si="1"/>
        <v>10.95</v>
      </c>
      <c r="M59" s="1">
        <v>223</v>
      </c>
      <c r="N59" s="1">
        <v>4</v>
      </c>
      <c r="O59" s="1">
        <v>18.5</v>
      </c>
      <c r="P59" s="1">
        <f t="shared" si="2"/>
        <v>113</v>
      </c>
      <c r="Q59" s="1">
        <f t="shared" si="3"/>
        <v>11.840707964601769</v>
      </c>
      <c r="R59" s="1" t="s">
        <v>18</v>
      </c>
      <c r="S59" s="1" t="s">
        <v>28</v>
      </c>
    </row>
    <row r="60" spans="1:19" x14ac:dyDescent="0.2">
      <c r="A60" s="1">
        <v>16</v>
      </c>
      <c r="B60" s="3">
        <v>46122</v>
      </c>
      <c r="C60" s="1" t="s">
        <v>40</v>
      </c>
      <c r="D60" s="1" t="s">
        <v>17</v>
      </c>
      <c r="E60" s="1" t="s">
        <v>20</v>
      </c>
      <c r="F60" s="1" t="s">
        <v>17</v>
      </c>
      <c r="G60" s="1" t="s">
        <v>20</v>
      </c>
      <c r="H60" s="1">
        <v>201</v>
      </c>
      <c r="I60" s="1">
        <v>8</v>
      </c>
      <c r="J60" s="1">
        <v>20</v>
      </c>
      <c r="K60" s="1">
        <f t="shared" si="0"/>
        <v>120</v>
      </c>
      <c r="L60" s="1">
        <f t="shared" si="1"/>
        <v>10.050000000000001</v>
      </c>
      <c r="M60" s="1">
        <v>202</v>
      </c>
      <c r="N60" s="1">
        <v>4</v>
      </c>
      <c r="O60" s="1">
        <v>18</v>
      </c>
      <c r="P60" s="1">
        <f t="shared" si="2"/>
        <v>108</v>
      </c>
      <c r="Q60" s="1">
        <f t="shared" si="3"/>
        <v>11.222222222222221</v>
      </c>
      <c r="R60" s="1" t="s">
        <v>18</v>
      </c>
      <c r="S60" s="1" t="s">
        <v>20</v>
      </c>
    </row>
    <row r="61" spans="1:19" x14ac:dyDescent="0.2">
      <c r="A61" s="1">
        <v>15</v>
      </c>
      <c r="B61" s="3">
        <v>46121</v>
      </c>
      <c r="C61" s="1" t="s">
        <v>43</v>
      </c>
      <c r="D61" s="1" t="s">
        <v>25</v>
      </c>
      <c r="E61" s="1" t="s">
        <v>27</v>
      </c>
      <c r="F61" s="1" t="s">
        <v>25</v>
      </c>
      <c r="G61" s="1" t="s">
        <v>27</v>
      </c>
      <c r="H61" s="1">
        <v>181</v>
      </c>
      <c r="I61" s="1">
        <v>4</v>
      </c>
      <c r="J61" s="1">
        <v>20</v>
      </c>
      <c r="K61" s="1">
        <f t="shared" si="0"/>
        <v>120</v>
      </c>
      <c r="L61" s="1">
        <f t="shared" si="1"/>
        <v>9.0500000000000007</v>
      </c>
      <c r="M61" s="1">
        <v>182</v>
      </c>
      <c r="N61" s="1">
        <v>7</v>
      </c>
      <c r="O61" s="1">
        <v>20</v>
      </c>
      <c r="P61" s="1">
        <f t="shared" si="2"/>
        <v>120</v>
      </c>
      <c r="Q61" s="1">
        <f t="shared" si="3"/>
        <v>9.1</v>
      </c>
      <c r="R61" s="1" t="s">
        <v>18</v>
      </c>
      <c r="S61" s="1" t="s">
        <v>27</v>
      </c>
    </row>
    <row r="62" spans="1:19" x14ac:dyDescent="0.2">
      <c r="A62" s="1">
        <v>14</v>
      </c>
      <c r="B62" s="3">
        <v>46120</v>
      </c>
      <c r="C62" s="1" t="s">
        <v>45</v>
      </c>
      <c r="D62" s="1" t="s">
        <v>16</v>
      </c>
      <c r="E62" s="1" t="s">
        <v>24</v>
      </c>
      <c r="F62" s="1" t="s">
        <v>16</v>
      </c>
      <c r="G62" s="1" t="s">
        <v>24</v>
      </c>
      <c r="H62" s="1">
        <v>210</v>
      </c>
      <c r="I62" s="1">
        <v>4</v>
      </c>
      <c r="J62" s="1">
        <v>20</v>
      </c>
      <c r="K62" s="1">
        <f t="shared" si="0"/>
        <v>120</v>
      </c>
      <c r="L62" s="1">
        <f t="shared" si="1"/>
        <v>10.5</v>
      </c>
      <c r="M62" s="1">
        <v>209</v>
      </c>
      <c r="N62" s="1">
        <v>8</v>
      </c>
      <c r="O62" s="1">
        <v>20</v>
      </c>
      <c r="P62" s="1">
        <f t="shared" si="2"/>
        <v>120</v>
      </c>
      <c r="Q62" s="1">
        <f t="shared" si="3"/>
        <v>10.45</v>
      </c>
      <c r="R62" s="1" t="s">
        <v>18</v>
      </c>
      <c r="S62" s="1" t="s">
        <v>16</v>
      </c>
    </row>
    <row r="63" spans="1:19" x14ac:dyDescent="0.2">
      <c r="A63" s="1">
        <v>13</v>
      </c>
      <c r="B63" s="3">
        <v>46119</v>
      </c>
      <c r="C63" s="1" t="s">
        <v>40</v>
      </c>
      <c r="D63" s="1" t="s">
        <v>20</v>
      </c>
      <c r="E63" s="1" t="s">
        <v>26</v>
      </c>
      <c r="F63" s="1" t="s">
        <v>20</v>
      </c>
      <c r="G63" s="1" t="s">
        <v>26</v>
      </c>
      <c r="H63" s="1">
        <v>150</v>
      </c>
      <c r="I63" s="1">
        <v>3</v>
      </c>
      <c r="J63" s="1">
        <v>11</v>
      </c>
      <c r="K63" s="1">
        <f t="shared" si="0"/>
        <v>66</v>
      </c>
      <c r="L63" s="1">
        <f t="shared" si="1"/>
        <v>13.636363636363637</v>
      </c>
      <c r="M63" s="1">
        <v>123</v>
      </c>
      <c r="N63" s="1">
        <v>9</v>
      </c>
      <c r="O63" s="1">
        <v>11</v>
      </c>
      <c r="P63" s="1">
        <f t="shared" si="2"/>
        <v>66</v>
      </c>
      <c r="Q63" s="1">
        <f t="shared" si="3"/>
        <v>11.181818181818182</v>
      </c>
      <c r="R63" s="1" t="s">
        <v>18</v>
      </c>
      <c r="S63" s="1" t="s">
        <v>20</v>
      </c>
    </row>
    <row r="64" spans="1:19" x14ac:dyDescent="0.2">
      <c r="A64" s="1">
        <v>11</v>
      </c>
      <c r="B64" s="3">
        <v>46117</v>
      </c>
      <c r="C64" s="1" t="s">
        <v>54</v>
      </c>
      <c r="D64" s="1" t="s">
        <v>17</v>
      </c>
      <c r="E64" s="1" t="s">
        <v>29</v>
      </c>
      <c r="F64" s="1" t="s">
        <v>17</v>
      </c>
      <c r="G64" s="1" t="s">
        <v>29</v>
      </c>
      <c r="H64" s="1">
        <v>250</v>
      </c>
      <c r="I64" s="1">
        <v>3</v>
      </c>
      <c r="J64" s="1">
        <v>20</v>
      </c>
      <c r="K64" s="1">
        <f t="shared" si="0"/>
        <v>120</v>
      </c>
      <c r="L64" s="1">
        <f t="shared" si="1"/>
        <v>12.5</v>
      </c>
      <c r="M64" s="1">
        <v>207</v>
      </c>
      <c r="N64" s="1">
        <v>10</v>
      </c>
      <c r="O64" s="1">
        <v>19.399999999999999</v>
      </c>
      <c r="P64" s="1">
        <f t="shared" si="2"/>
        <v>118</v>
      </c>
      <c r="Q64" s="1">
        <f t="shared" si="3"/>
        <v>10.525423728813559</v>
      </c>
      <c r="R64" s="1" t="s">
        <v>18</v>
      </c>
      <c r="S64" s="1" t="s">
        <v>17</v>
      </c>
    </row>
    <row r="65" spans="1:19" x14ac:dyDescent="0.2">
      <c r="A65" s="1">
        <v>10</v>
      </c>
      <c r="B65" s="3">
        <v>46117</v>
      </c>
      <c r="C65" s="1" t="s">
        <v>47</v>
      </c>
      <c r="D65" s="1" t="s">
        <v>22</v>
      </c>
      <c r="E65" s="1" t="s">
        <v>27</v>
      </c>
      <c r="F65" s="1" t="s">
        <v>22</v>
      </c>
      <c r="G65" s="1" t="s">
        <v>27</v>
      </c>
      <c r="H65" s="1">
        <v>156</v>
      </c>
      <c r="I65" s="1">
        <v>9</v>
      </c>
      <c r="J65" s="1">
        <v>20</v>
      </c>
      <c r="K65" s="1">
        <f t="shared" si="0"/>
        <v>120</v>
      </c>
      <c r="L65" s="1">
        <f t="shared" si="1"/>
        <v>7.8</v>
      </c>
      <c r="M65" s="1">
        <v>160</v>
      </c>
      <c r="N65" s="1">
        <v>5</v>
      </c>
      <c r="O65" s="1">
        <v>19.5</v>
      </c>
      <c r="P65" s="1">
        <f t="shared" si="2"/>
        <v>119</v>
      </c>
      <c r="Q65" s="1">
        <f t="shared" si="3"/>
        <v>8.0672268907563023</v>
      </c>
      <c r="R65" s="1" t="s">
        <v>18</v>
      </c>
      <c r="S65" s="1" t="s">
        <v>27</v>
      </c>
    </row>
    <row r="66" spans="1:19" x14ac:dyDescent="0.2">
      <c r="A66" s="1">
        <v>9</v>
      </c>
      <c r="B66" s="3">
        <v>46116</v>
      </c>
      <c r="C66" s="1" t="s">
        <v>46</v>
      </c>
      <c r="D66" s="1" t="s">
        <v>20</v>
      </c>
      <c r="E66" s="1" t="s">
        <v>16</v>
      </c>
      <c r="F66" s="1" t="s">
        <v>20</v>
      </c>
      <c r="G66" s="1" t="s">
        <v>16</v>
      </c>
      <c r="H66" s="1">
        <v>210</v>
      </c>
      <c r="I66" s="1">
        <v>6</v>
      </c>
      <c r="J66" s="1">
        <v>20</v>
      </c>
      <c r="K66" s="1">
        <f t="shared" ref="K66:K74" si="4">IF(INT(J66)=J66,J66*6,TRUNC(J66)*6+VALUE(MID(J66,IFERROR(FIND(".",J66),0)+1,LEN(J66))))</f>
        <v>120</v>
      </c>
      <c r="L66" s="1">
        <f t="shared" ref="L66:L74" si="5">IFERROR((H66*6)/K66,"")</f>
        <v>10.5</v>
      </c>
      <c r="M66" s="1">
        <v>204</v>
      </c>
      <c r="N66" s="1">
        <v>8</v>
      </c>
      <c r="O66" s="1">
        <v>20</v>
      </c>
      <c r="P66" s="1">
        <f t="shared" ref="P66:P74" si="6">IF(INT(O66)=O66,O66*6,TRUNC(O66)*6+VALUE(MID(O66,IFERROR(FIND(".",O66),0)+1,LEN(O66))))</f>
        <v>120</v>
      </c>
      <c r="Q66" s="1">
        <f t="shared" ref="Q66:Q74" si="7">IFERROR((M66*6)/P66, "")</f>
        <v>10.199999999999999</v>
      </c>
      <c r="R66" s="1" t="s">
        <v>18</v>
      </c>
      <c r="S66" s="1" t="s">
        <v>20</v>
      </c>
    </row>
    <row r="67" spans="1:19" x14ac:dyDescent="0.2">
      <c r="A67" s="1">
        <v>8</v>
      </c>
      <c r="B67" s="3">
        <v>46116</v>
      </c>
      <c r="C67" s="1" t="s">
        <v>45</v>
      </c>
      <c r="D67" s="1" t="s">
        <v>26</v>
      </c>
      <c r="E67" s="1" t="s">
        <v>24</v>
      </c>
      <c r="F67" s="1" t="s">
        <v>26</v>
      </c>
      <c r="G67" s="1" t="s">
        <v>24</v>
      </c>
      <c r="H67" s="1">
        <v>162</v>
      </c>
      <c r="I67" s="1">
        <v>6</v>
      </c>
      <c r="J67" s="1">
        <v>20</v>
      </c>
      <c r="K67" s="1">
        <f t="shared" si="4"/>
        <v>120</v>
      </c>
      <c r="L67" s="1">
        <f t="shared" si="5"/>
        <v>8.1</v>
      </c>
      <c r="M67" s="1">
        <v>164</v>
      </c>
      <c r="N67" s="1">
        <v>4</v>
      </c>
      <c r="O67" s="1">
        <v>18.100000000000001</v>
      </c>
      <c r="P67" s="1">
        <f t="shared" si="6"/>
        <v>109</v>
      </c>
      <c r="Q67" s="1">
        <f t="shared" si="7"/>
        <v>9.0275229357798157</v>
      </c>
      <c r="R67" s="1" t="s">
        <v>18</v>
      </c>
      <c r="S67" s="1" t="s">
        <v>24</v>
      </c>
    </row>
    <row r="68" spans="1:19" x14ac:dyDescent="0.2">
      <c r="A68" s="1">
        <v>7</v>
      </c>
      <c r="B68" s="3">
        <v>46115</v>
      </c>
      <c r="C68" s="1" t="s">
        <v>44</v>
      </c>
      <c r="D68" s="1" t="s">
        <v>29</v>
      </c>
      <c r="E68" s="1" t="s">
        <v>28</v>
      </c>
      <c r="F68" s="1" t="s">
        <v>29</v>
      </c>
      <c r="G68" s="1" t="s">
        <v>28</v>
      </c>
      <c r="H68" s="1">
        <v>209</v>
      </c>
      <c r="I68" s="1">
        <v>5</v>
      </c>
      <c r="J68" s="1">
        <v>20</v>
      </c>
      <c r="K68" s="1">
        <f t="shared" si="4"/>
        <v>120</v>
      </c>
      <c r="L68" s="1">
        <f t="shared" si="5"/>
        <v>10.45</v>
      </c>
      <c r="M68" s="1">
        <v>210</v>
      </c>
      <c r="N68" s="1">
        <v>5</v>
      </c>
      <c r="O68" s="1">
        <v>18.399999999999999</v>
      </c>
      <c r="P68" s="1">
        <f t="shared" si="6"/>
        <v>112</v>
      </c>
      <c r="Q68" s="1">
        <f t="shared" si="7"/>
        <v>11.25</v>
      </c>
      <c r="R68" s="1" t="s">
        <v>18</v>
      </c>
      <c r="S68" s="1" t="s">
        <v>28</v>
      </c>
    </row>
    <row r="69" spans="1:19" x14ac:dyDescent="0.2">
      <c r="A69" s="1">
        <v>6</v>
      </c>
      <c r="B69" s="3">
        <v>46114</v>
      </c>
      <c r="C69" s="1" t="s">
        <v>43</v>
      </c>
      <c r="D69" s="1" t="s">
        <v>22</v>
      </c>
      <c r="E69" s="1" t="s">
        <v>25</v>
      </c>
      <c r="F69" s="1" t="s">
        <v>22</v>
      </c>
      <c r="G69" s="1" t="s">
        <v>25</v>
      </c>
      <c r="H69" s="1">
        <v>226</v>
      </c>
      <c r="I69" s="1">
        <v>8</v>
      </c>
      <c r="J69" s="1">
        <v>20</v>
      </c>
      <c r="K69" s="1">
        <f t="shared" si="4"/>
        <v>120</v>
      </c>
      <c r="L69" s="1">
        <f t="shared" si="5"/>
        <v>11.3</v>
      </c>
      <c r="M69" s="1">
        <v>161</v>
      </c>
      <c r="N69" s="1">
        <v>10</v>
      </c>
      <c r="O69" s="1">
        <v>16</v>
      </c>
      <c r="P69" s="1">
        <f t="shared" si="6"/>
        <v>96</v>
      </c>
      <c r="Q69" s="1">
        <f t="shared" si="7"/>
        <v>10.0625</v>
      </c>
      <c r="R69" s="1" t="s">
        <v>18</v>
      </c>
      <c r="S69" s="1" t="s">
        <v>22</v>
      </c>
    </row>
    <row r="70" spans="1:19" x14ac:dyDescent="0.2">
      <c r="A70" s="1">
        <v>5</v>
      </c>
      <c r="B70" s="3">
        <v>46113</v>
      </c>
      <c r="C70" s="1" t="s">
        <v>42</v>
      </c>
      <c r="D70" s="1" t="s">
        <v>24</v>
      </c>
      <c r="E70" s="1" t="s">
        <v>27</v>
      </c>
      <c r="F70" s="1" t="s">
        <v>27</v>
      </c>
      <c r="G70" s="1" t="s">
        <v>24</v>
      </c>
      <c r="H70" s="1">
        <v>141</v>
      </c>
      <c r="I70" s="1">
        <v>10</v>
      </c>
      <c r="J70" s="1">
        <v>18.399999999999999</v>
      </c>
      <c r="K70" s="1">
        <f>IF(INT(J70)=J70,J70*6,TRUNC(J70)*6+VALUE(MID(J70,IFERROR(FIND(".",J70),0)+1,LEN(J70))))</f>
        <v>112</v>
      </c>
      <c r="L70" s="1">
        <f t="shared" si="5"/>
        <v>7.5535714285714288</v>
      </c>
      <c r="M70" s="1">
        <v>145</v>
      </c>
      <c r="N70" s="1">
        <v>4</v>
      </c>
      <c r="O70" s="1">
        <v>17.100000000000001</v>
      </c>
      <c r="P70" s="1">
        <f>IF(INT(O70)=O70,O70*6,TRUNC(O70)*6+VALUE(MID(O70,IFERROR(FIND(".",O70),0)+1,LEN(O70))))</f>
        <v>103</v>
      </c>
      <c r="Q70" s="1">
        <f t="shared" si="7"/>
        <v>8.4466019417475735</v>
      </c>
      <c r="R70" s="1" t="s">
        <v>18</v>
      </c>
      <c r="S70" s="1" t="s">
        <v>24</v>
      </c>
    </row>
    <row r="71" spans="1:19" x14ac:dyDescent="0.2">
      <c r="A71" s="1">
        <v>4</v>
      </c>
      <c r="B71" s="3">
        <v>46112</v>
      </c>
      <c r="C71" s="1" t="s">
        <v>41</v>
      </c>
      <c r="D71" s="1" t="s">
        <v>16</v>
      </c>
      <c r="E71" s="1" t="s">
        <v>28</v>
      </c>
      <c r="F71" s="1" t="s">
        <v>16</v>
      </c>
      <c r="G71" s="1" t="s">
        <v>28</v>
      </c>
      <c r="H71" s="1">
        <v>162</v>
      </c>
      <c r="I71" s="1">
        <v>6</v>
      </c>
      <c r="J71" s="1">
        <v>20</v>
      </c>
      <c r="K71" s="1">
        <f t="shared" si="4"/>
        <v>120</v>
      </c>
      <c r="L71" s="1">
        <f t="shared" si="5"/>
        <v>8.1</v>
      </c>
      <c r="M71" s="1">
        <v>165</v>
      </c>
      <c r="N71" s="1">
        <v>7</v>
      </c>
      <c r="O71" s="1">
        <v>19.100000000000001</v>
      </c>
      <c r="P71" s="1">
        <f t="shared" si="6"/>
        <v>115</v>
      </c>
      <c r="Q71" s="1">
        <f t="shared" si="7"/>
        <v>8.6086956521739122</v>
      </c>
      <c r="R71" s="1" t="s">
        <v>18</v>
      </c>
      <c r="S71" s="1" t="s">
        <v>28</v>
      </c>
    </row>
    <row r="72" spans="1:19" x14ac:dyDescent="0.2">
      <c r="A72" s="1">
        <v>3</v>
      </c>
      <c r="B72" s="3">
        <v>46111</v>
      </c>
      <c r="C72" s="1" t="s">
        <v>40</v>
      </c>
      <c r="D72" s="1" t="s">
        <v>29</v>
      </c>
      <c r="E72" s="1" t="s">
        <v>20</v>
      </c>
      <c r="F72" s="1" t="s">
        <v>29</v>
      </c>
      <c r="G72" s="1" t="s">
        <v>20</v>
      </c>
      <c r="H72" s="1">
        <v>127</v>
      </c>
      <c r="I72" s="1">
        <v>10</v>
      </c>
      <c r="J72" s="1">
        <v>19.399999999999999</v>
      </c>
      <c r="K72" s="1">
        <f t="shared" si="4"/>
        <v>118</v>
      </c>
      <c r="L72" s="1">
        <f t="shared" si="5"/>
        <v>6.4576271186440675</v>
      </c>
      <c r="M72" s="1">
        <v>128</v>
      </c>
      <c r="N72" s="1">
        <v>2</v>
      </c>
      <c r="O72" s="1">
        <v>12.1</v>
      </c>
      <c r="P72" s="1">
        <f t="shared" si="6"/>
        <v>73</v>
      </c>
      <c r="Q72" s="1">
        <f t="shared" si="7"/>
        <v>10.520547945205479</v>
      </c>
      <c r="R72" s="1" t="s">
        <v>18</v>
      </c>
      <c r="S72" s="1" t="s">
        <v>20</v>
      </c>
    </row>
    <row r="73" spans="1:19" x14ac:dyDescent="0.2">
      <c r="A73" s="1">
        <v>2</v>
      </c>
      <c r="B73" s="3">
        <v>46110</v>
      </c>
      <c r="C73" s="1" t="s">
        <v>39</v>
      </c>
      <c r="D73" s="1" t="s">
        <v>25</v>
      </c>
      <c r="E73" s="1" t="s">
        <v>26</v>
      </c>
      <c r="F73" s="1" t="s">
        <v>25</v>
      </c>
      <c r="G73" s="1" t="s">
        <v>26</v>
      </c>
      <c r="H73" s="1">
        <v>220</v>
      </c>
      <c r="I73" s="1">
        <v>4</v>
      </c>
      <c r="J73" s="1">
        <v>20</v>
      </c>
      <c r="K73" s="1">
        <f t="shared" si="4"/>
        <v>120</v>
      </c>
      <c r="L73" s="1">
        <f t="shared" si="5"/>
        <v>11</v>
      </c>
      <c r="M73" s="1">
        <v>224</v>
      </c>
      <c r="N73" s="1">
        <v>4</v>
      </c>
      <c r="O73" s="1">
        <v>19.100000000000001</v>
      </c>
      <c r="P73" s="1">
        <f t="shared" si="6"/>
        <v>115</v>
      </c>
      <c r="Q73" s="1">
        <f t="shared" si="7"/>
        <v>11.68695652173913</v>
      </c>
      <c r="R73" s="1" t="s">
        <v>18</v>
      </c>
      <c r="S73" s="1" t="s">
        <v>26</v>
      </c>
    </row>
    <row r="74" spans="1:19" x14ac:dyDescent="0.2">
      <c r="A74" s="1">
        <v>1</v>
      </c>
      <c r="B74" s="3">
        <v>46109</v>
      </c>
      <c r="C74" s="1" t="s">
        <v>54</v>
      </c>
      <c r="D74" s="1" t="s">
        <v>22</v>
      </c>
      <c r="E74" s="1" t="s">
        <v>17</v>
      </c>
      <c r="F74" s="1" t="s">
        <v>22</v>
      </c>
      <c r="G74" s="1" t="s">
        <v>17</v>
      </c>
      <c r="H74" s="1">
        <v>201</v>
      </c>
      <c r="I74" s="1">
        <v>9</v>
      </c>
      <c r="J74" s="1">
        <v>20</v>
      </c>
      <c r="K74" s="1">
        <f t="shared" si="4"/>
        <v>120</v>
      </c>
      <c r="L74" s="1">
        <f t="shared" si="5"/>
        <v>10.050000000000001</v>
      </c>
      <c r="M74" s="1">
        <v>203</v>
      </c>
      <c r="N74" s="1">
        <v>4</v>
      </c>
      <c r="O74" s="1">
        <v>15.4</v>
      </c>
      <c r="P74" s="1">
        <f t="shared" si="6"/>
        <v>94</v>
      </c>
      <c r="Q74" s="1">
        <f t="shared" si="7"/>
        <v>12.957446808510639</v>
      </c>
      <c r="R74" s="1" t="s">
        <v>18</v>
      </c>
      <c r="S74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Dhairya Thakkar</cp:lastModifiedBy>
  <dcterms:modified xsi:type="dcterms:W3CDTF">2026-06-08T05:38:05Z</dcterms:modified>
</cp:coreProperties>
</file>